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Q:\SGAO\SGAO\ASUNM\Appropriations\Appropriation Forms_Blank\"/>
    </mc:Choice>
  </mc:AlternateContent>
  <xr:revisionPtr revIDLastSave="0" documentId="8_{67769C65-C102-4044-B51B-3ED751F6CCFE}" xr6:coauthVersionLast="47" xr6:coauthVersionMax="47" xr10:uidLastSave="{00000000-0000-0000-0000-000000000000}"/>
  <bookViews>
    <workbookView xWindow="-120" yWindow="-120" windowWidth="29040" windowHeight="15720" xr2:uid="{82EFAB0D-72E6-45EB-AE08-4CBFF174488D}"/>
  </bookViews>
  <sheets>
    <sheet name="Appropriation Request" sheetId="1" r:id="rId1"/>
    <sheet name="Quote Spreadsheet" sheetId="6" r:id="rId2"/>
    <sheet name="Standing Rules" sheetId="3" r:id="rId3"/>
    <sheet name="Process Info" sheetId="2" r:id="rId4"/>
    <sheet name="Schedul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59" i="1" l="1"/>
  <c r="C64" i="1" l="1"/>
  <c r="C63" i="1"/>
  <c r="C62" i="1"/>
  <c r="K64" i="1"/>
  <c r="K63" i="1"/>
  <c r="K62" i="1"/>
  <c r="F64" i="1"/>
  <c r="F63" i="1"/>
  <c r="L209" i="1"/>
  <c r="L210" i="1"/>
  <c r="L211" i="1"/>
  <c r="L212" i="1"/>
  <c r="L213" i="1"/>
  <c r="L214" i="1"/>
  <c r="L215" i="1"/>
  <c r="L216" i="1"/>
  <c r="L217" i="1"/>
  <c r="L218" i="1"/>
  <c r="L184" i="1"/>
  <c r="L185" i="1"/>
  <c r="L186" i="1"/>
  <c r="L187" i="1"/>
  <c r="L188" i="1"/>
  <c r="L189" i="1"/>
  <c r="L190" i="1"/>
  <c r="L191" i="1"/>
  <c r="L192" i="1"/>
  <c r="L193" i="1"/>
  <c r="L159" i="1"/>
  <c r="L160" i="1"/>
  <c r="L161" i="1"/>
  <c r="L162" i="1"/>
  <c r="L163" i="1"/>
  <c r="L164" i="1"/>
  <c r="L165" i="1"/>
  <c r="L166" i="1"/>
  <c r="L167" i="1"/>
  <c r="L168" i="1"/>
  <c r="L141" i="1"/>
  <c r="L140" i="1"/>
  <c r="L139" i="1"/>
  <c r="L138" i="1"/>
  <c r="L137" i="1"/>
  <c r="L136" i="1"/>
  <c r="L135" i="1"/>
  <c r="L134" i="1"/>
  <c r="L119" i="1"/>
  <c r="L118" i="1"/>
  <c r="L117" i="1"/>
  <c r="L115" i="1"/>
  <c r="L114" i="1"/>
  <c r="L113" i="1"/>
  <c r="L112" i="1"/>
  <c r="K34" i="1" a="1"/>
  <c r="K34" i="1" s="1"/>
  <c r="K35" i="1" a="1"/>
  <c r="K35" i="1" s="1"/>
  <c r="K219" i="1"/>
  <c r="F219" i="1"/>
  <c r="K194" i="1"/>
  <c r="F194" i="1"/>
  <c r="K169" i="1"/>
  <c r="F169" i="1"/>
  <c r="F62" i="1" s="1"/>
  <c r="F142" i="1"/>
  <c r="F144" i="1" s="1"/>
  <c r="K142" i="1"/>
  <c r="K59" i="1" s="1"/>
  <c r="K120" i="1"/>
  <c r="K122" i="1" s="1"/>
  <c r="F120" i="1"/>
  <c r="F122" i="1" s="1"/>
  <c r="H141" i="1"/>
  <c r="H140" i="1"/>
  <c r="H139" i="1"/>
  <c r="H138" i="1"/>
  <c r="H137" i="1"/>
  <c r="H136" i="1"/>
  <c r="H135" i="1"/>
  <c r="H134" i="1"/>
  <c r="H113" i="1"/>
  <c r="H114" i="1"/>
  <c r="H115" i="1"/>
  <c r="H116" i="1"/>
  <c r="H117" i="1"/>
  <c r="H118" i="1"/>
  <c r="H119" i="1"/>
  <c r="H112" i="1"/>
  <c r="H218" i="1"/>
  <c r="H217" i="1"/>
  <c r="H216" i="1"/>
  <c r="H215" i="1"/>
  <c r="H214" i="1"/>
  <c r="H213" i="1"/>
  <c r="H212" i="1"/>
  <c r="H211" i="1"/>
  <c r="H210" i="1"/>
  <c r="H209" i="1"/>
  <c r="L208" i="1"/>
  <c r="H208" i="1"/>
  <c r="H193" i="1"/>
  <c r="H192" i="1"/>
  <c r="H191" i="1"/>
  <c r="H190" i="1"/>
  <c r="H189" i="1"/>
  <c r="H188" i="1"/>
  <c r="H187" i="1"/>
  <c r="H186" i="1"/>
  <c r="H185" i="1"/>
  <c r="H184" i="1"/>
  <c r="L183" i="1"/>
  <c r="H183" i="1"/>
  <c r="C58" i="1"/>
  <c r="L116" i="1"/>
  <c r="L91" i="1"/>
  <c r="H91" i="1"/>
  <c r="L90" i="1"/>
  <c r="H90" i="1"/>
  <c r="H168" i="1"/>
  <c r="H167" i="1"/>
  <c r="H166" i="1"/>
  <c r="H165" i="1"/>
  <c r="H164" i="1"/>
  <c r="H163" i="1"/>
  <c r="H162" i="1"/>
  <c r="H161" i="1"/>
  <c r="H160" i="1"/>
  <c r="H159" i="1"/>
  <c r="H158" i="1"/>
  <c r="L64" i="1"/>
  <c r="L63" i="1"/>
  <c r="L67" i="1"/>
  <c r="L68" i="1"/>
  <c r="L69" i="1"/>
  <c r="L70" i="1"/>
  <c r="L71" i="1"/>
  <c r="L72" i="1"/>
  <c r="L73" i="1"/>
  <c r="L74" i="1"/>
  <c r="L75" i="1"/>
  <c r="L78" i="1"/>
  <c r="L79" i="1"/>
  <c r="L80" i="1"/>
  <c r="L83" i="1"/>
  <c r="L84" i="1"/>
  <c r="L85" i="1"/>
  <c r="L86" i="1"/>
  <c r="L87" i="1"/>
  <c r="L92" i="1"/>
  <c r="H67" i="1"/>
  <c r="H68" i="1"/>
  <c r="H69" i="1"/>
  <c r="H70" i="1"/>
  <c r="H71" i="1"/>
  <c r="H72" i="1"/>
  <c r="H73" i="1"/>
  <c r="H74" i="1"/>
  <c r="H75" i="1"/>
  <c r="H78" i="1"/>
  <c r="H79" i="1"/>
  <c r="H80" i="1"/>
  <c r="H83" i="1"/>
  <c r="H84" i="1"/>
  <c r="H85" i="1"/>
  <c r="H86" i="1"/>
  <c r="H87" i="1"/>
  <c r="H92" i="1"/>
  <c r="F59" i="1" l="1"/>
  <c r="K144" i="1"/>
  <c r="K58" i="1"/>
  <c r="K93" i="1" s="1"/>
  <c r="F58" i="1"/>
  <c r="L158" i="1"/>
  <c r="F93" i="1" l="1"/>
  <c r="F94" i="1" s="1"/>
  <c r="F95" i="1" s="1"/>
  <c r="K94" i="1"/>
  <c r="K95" i="1" s="1"/>
  <c r="L62" i="1"/>
  <c r="L59" i="1"/>
  <c r="L58" i="1"/>
  <c r="L93" i="1" l="1"/>
  <c r="L9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Karl Anderson</author>
  </authors>
  <commentList>
    <comment ref="C68" authorId="0" shapeId="0" xr:uid="{27DF7808-A717-41C3-9834-1556C3AE7766}">
      <text>
        <r>
          <rPr>
            <b/>
            <sz val="9"/>
            <color indexed="81"/>
            <rFont val="Tahoma"/>
            <family val="2"/>
          </rPr>
          <t>Karl Anderson:</t>
        </r>
        <r>
          <rPr>
            <sz val="9"/>
            <color indexed="81"/>
            <rFont val="Tahoma"/>
            <family val="2"/>
          </rPr>
          <t xml:space="preserve">
Museum Entrance Fee, Bowling Lane Rentals, etc.</t>
        </r>
      </text>
    </comment>
    <comment ref="C71" authorId="0" shapeId="0" xr:uid="{17AFC51B-24E3-403E-8E7C-D64A4877F84B}">
      <text>
        <r>
          <rPr>
            <b/>
            <sz val="9"/>
            <color indexed="81"/>
            <rFont val="Tahoma"/>
            <family val="2"/>
          </rPr>
          <t>Karl Anderson:</t>
        </r>
        <r>
          <rPr>
            <sz val="9"/>
            <color indexed="81"/>
            <rFont val="Tahoma"/>
            <family val="2"/>
          </rPr>
          <t xml:space="preserve">
Tabling items with CSO logo, stickers, etc.</t>
        </r>
      </text>
    </comment>
    <comment ref="C72" authorId="0" shapeId="0" xr:uid="{1BA889C6-0773-4F5A-86A4-4E1BD99932CA}">
      <text>
        <r>
          <rPr>
            <b/>
            <sz val="9"/>
            <color indexed="81"/>
            <rFont val="Tahoma"/>
            <family val="2"/>
          </rPr>
          <t>Karl Anderson:</t>
        </r>
        <r>
          <rPr>
            <sz val="9"/>
            <color indexed="81"/>
            <rFont val="Tahoma"/>
            <family val="2"/>
          </rPr>
          <t xml:space="preserve">
Daily Lobo Advertisements, Social Media Ads
</t>
        </r>
      </text>
    </comment>
    <comment ref="C73" authorId="0" shapeId="0" xr:uid="{433A5558-684F-4230-B78B-07E5419AB1E7}">
      <text>
        <r>
          <rPr>
            <b/>
            <sz val="9"/>
            <color indexed="81"/>
            <rFont val="Tahoma"/>
            <family val="2"/>
          </rPr>
          <t>Karl Anderson:</t>
        </r>
        <r>
          <rPr>
            <sz val="9"/>
            <color indexed="81"/>
            <rFont val="Tahoma"/>
            <family val="2"/>
          </rPr>
          <t xml:space="preserve">
Ballroom Rental, SUB Rental, etc. </t>
        </r>
      </text>
    </comment>
    <comment ref="C83" authorId="0" shapeId="0" xr:uid="{EA4BA76C-CCBA-4A2B-A32F-736C08A50D11}">
      <text>
        <r>
          <rPr>
            <b/>
            <sz val="9"/>
            <color indexed="81"/>
            <rFont val="Tahoma"/>
            <family val="2"/>
          </rPr>
          <t>Karl Anderson:</t>
        </r>
        <r>
          <rPr>
            <sz val="9"/>
            <color indexed="81"/>
            <rFont val="Tahoma"/>
            <family val="2"/>
          </rPr>
          <t xml:space="preserve">
Pens, Pencils, Notebooks, Staples, etc. not customized</t>
        </r>
      </text>
    </comment>
    <comment ref="C84" authorId="0" shapeId="0" xr:uid="{8DB3B134-F558-4132-95F4-B6369BD5FB5C}">
      <text>
        <r>
          <rPr>
            <b/>
            <sz val="9"/>
            <color indexed="81"/>
            <rFont val="Tahoma"/>
            <family val="2"/>
          </rPr>
          <t>Karl Anderson:</t>
        </r>
        <r>
          <rPr>
            <sz val="9"/>
            <color indexed="81"/>
            <rFont val="Tahoma"/>
            <family val="2"/>
          </rPr>
          <t xml:space="preserve">
Textbooks, Books, Scholarly Journals, etc.</t>
        </r>
      </text>
    </comment>
    <comment ref="C85" authorId="0" shapeId="0" xr:uid="{56A4EAE8-6F66-46D6-BA01-360EC0D462AA}">
      <text>
        <r>
          <rPr>
            <b/>
            <sz val="9"/>
            <color indexed="81"/>
            <rFont val="Tahoma"/>
            <family val="2"/>
          </rPr>
          <t>Karl Anderson:</t>
        </r>
        <r>
          <rPr>
            <sz val="9"/>
            <color indexed="81"/>
            <rFont val="Tahoma"/>
            <family val="2"/>
          </rPr>
          <t xml:space="preserve">
Peripherals; mouse, keyboard, USB drives, etc.</t>
        </r>
      </text>
    </comment>
    <comment ref="C86" authorId="0" shapeId="0" xr:uid="{EB4FB0A4-17AE-45B4-8E45-87409F75E505}">
      <text>
        <r>
          <rPr>
            <b/>
            <sz val="9"/>
            <color indexed="81"/>
            <rFont val="Tahoma"/>
            <family val="2"/>
          </rPr>
          <t>Karl Anderson:</t>
        </r>
        <r>
          <rPr>
            <sz val="9"/>
            <color indexed="81"/>
            <rFont val="Tahoma"/>
            <family val="2"/>
          </rPr>
          <t xml:space="preserve">
Copy Paper, Ink, Toner, Cartridges
</t>
        </r>
      </text>
    </comment>
    <comment ref="C159" authorId="0" shapeId="0" xr:uid="{7E17AD1F-6ECC-4135-9110-4DECA464FBB9}">
      <text>
        <r>
          <rPr>
            <b/>
            <sz val="9"/>
            <color indexed="81"/>
            <rFont val="Tahoma"/>
            <family val="2"/>
          </rPr>
          <t>Karl Anderson:</t>
        </r>
        <r>
          <rPr>
            <sz val="9"/>
            <color indexed="81"/>
            <rFont val="Tahoma"/>
            <family val="2"/>
          </rPr>
          <t xml:space="preserve">
Decorations, utensils, etc.</t>
        </r>
      </text>
    </comment>
    <comment ref="C184" authorId="0" shapeId="0" xr:uid="{095F7483-3CBF-452A-919A-735EE3660EAA}">
      <text>
        <r>
          <rPr>
            <b/>
            <sz val="9"/>
            <color indexed="81"/>
            <rFont val="Tahoma"/>
            <family val="2"/>
          </rPr>
          <t>Karl Anderson:</t>
        </r>
        <r>
          <rPr>
            <sz val="9"/>
            <color indexed="81"/>
            <rFont val="Tahoma"/>
            <family val="2"/>
          </rPr>
          <t xml:space="preserve">
Decorations, utensils, etc.</t>
        </r>
      </text>
    </comment>
    <comment ref="C209" authorId="0" shapeId="0" xr:uid="{4B415EC8-17D5-44AF-B500-30DA3EE73365}">
      <text>
        <r>
          <rPr>
            <b/>
            <sz val="9"/>
            <color indexed="81"/>
            <rFont val="Tahoma"/>
            <family val="2"/>
          </rPr>
          <t>Karl Anderson:</t>
        </r>
        <r>
          <rPr>
            <sz val="9"/>
            <color indexed="81"/>
            <rFont val="Tahoma"/>
            <family val="2"/>
          </rPr>
          <t xml:space="preserve">
Decorations, utensils, etc.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<sst xmlns="http://schemas.openxmlformats.org/spreadsheetml/2006/main" count="522" uniqueCount="293">
  <si>
    <t>APPROPRIATIONS BILL FUNDING REQUEST</t>
  </si>
  <si>
    <t>2026 - 2027</t>
  </si>
  <si>
    <t>ORGANIZATION CONTACT INFORMATION</t>
  </si>
  <si>
    <t>Robotics Club</t>
  </si>
  <si>
    <t>Name of Organization</t>
  </si>
  <si>
    <t>Index Number (If New Org, write "NEW")</t>
  </si>
  <si>
    <t xml:space="preserve">Date </t>
  </si>
  <si>
    <t>ECE Electrical and computer Engineering Department, UNM Rm. 312</t>
  </si>
  <si>
    <t>Campus Address</t>
  </si>
  <si>
    <t>Sponsoring Senator (click here for more info)</t>
  </si>
  <si>
    <t>David Peyton</t>
  </si>
  <si>
    <t>david.peyton@cosmiac.unm.edu</t>
  </si>
  <si>
    <t>Primary Contact Name</t>
  </si>
  <si>
    <t>Phone Number</t>
  </si>
  <si>
    <t xml:space="preserve">Email Address </t>
  </si>
  <si>
    <t>Alanah Martinez</t>
  </si>
  <si>
    <t>alanahem12@unm.edu</t>
  </si>
  <si>
    <t>Secondary Contact Name</t>
  </si>
  <si>
    <t>https://unm.presence.io/organization/robotics-club</t>
  </si>
  <si>
    <t>Website or Facebook Page (paste link)</t>
  </si>
  <si>
    <t>Number of Active Members</t>
  </si>
  <si>
    <t xml:space="preserve">     </t>
  </si>
  <si>
    <t>Undergraduate</t>
  </si>
  <si>
    <t>Graduate</t>
  </si>
  <si>
    <t>Other</t>
  </si>
  <si>
    <t>Student Organization Information Questionnaire</t>
  </si>
  <si>
    <t>YES</t>
  </si>
  <si>
    <t>NO</t>
  </si>
  <si>
    <t>Our organization is chartered with SAC for the current Fiscal Year</t>
  </si>
  <si>
    <t>Our organization has received funding in the past and/or current academic year</t>
  </si>
  <si>
    <t>PREVIOUS FUNDING INFORMATION</t>
  </si>
  <si>
    <t>If your student group received previous funding (Budget or Appropriation) from ASUNM, please provide information regarding (1) appropriation or budget {or both}, (2) the amount approved, (3) the semester applied, and (4) why additional funding is necessary:</t>
  </si>
  <si>
    <t>SPRING 2025 Appropriation, ~$2,039.37, Spring 2025, Additional funding is needed as that was last year’s purchase which was used to buy a 3D printer and a robotics build kit. This allowed students to start their own robotics projects including a LiDar Tank, Dancing Robot, small proto battlebots, and other kits. This year’s focus relates to robotics lab related simulation and emulation with a dedicated workbed.</t>
  </si>
  <si>
    <t>APPROPRIATION REQUEST</t>
  </si>
  <si>
    <t xml:space="preserve">Description of Request: </t>
  </si>
  <si>
    <t>One SpotMicro robot build with targeted spares, ROS/MuJoCo workstation, lab test equipment, food, wiring, filament, and assembly supplies.</t>
  </si>
  <si>
    <t>Note: Hover over cells with a red mark in upper right to review example items. Travel and Events are auto-calculated based on the breakouts.</t>
  </si>
  <si>
    <t>Quote</t>
  </si>
  <si>
    <t>Finance Committee Use Only</t>
  </si>
  <si>
    <t>Category</t>
  </si>
  <si>
    <r>
      <t xml:space="preserve">Brief Description of items 
</t>
    </r>
    <r>
      <rPr>
        <b/>
        <i/>
        <sz val="11"/>
        <color theme="1"/>
        <rFont val="Aptos Narrow"/>
        <family val="2"/>
        <scheme val="minor"/>
      </rPr>
      <t>*200 Character Limit*</t>
    </r>
  </si>
  <si>
    <t>Total Requested Amount</t>
  </si>
  <si>
    <t>Required?</t>
  </si>
  <si>
    <t>Attached?</t>
  </si>
  <si>
    <t>Recommendation</t>
  </si>
  <si>
    <t>Addition / (Reduction)</t>
  </si>
  <si>
    <t>Reason for cut / reduction</t>
  </si>
  <si>
    <t>TRAVEL</t>
  </si>
  <si>
    <t>Travel Breakdown Below (Click me)</t>
  </si>
  <si>
    <t>See breakdown</t>
  </si>
  <si>
    <t>EVENTS</t>
  </si>
  <si>
    <t>Event Breakdown Below (click me)</t>
  </si>
  <si>
    <t>SERVICES</t>
  </si>
  <si>
    <t>Food/Refreshments</t>
  </si>
  <si>
    <t>Workshop food/refreshments</t>
  </si>
  <si>
    <t>Entrance Fees</t>
  </si>
  <si>
    <t>Rental Fees</t>
  </si>
  <si>
    <t xml:space="preserve">Copying &amp; Printing </t>
  </si>
  <si>
    <t>Promotional Items</t>
  </si>
  <si>
    <t>Poster, banner, display gantry for robotics work. wireless display for code and simulation display.</t>
  </si>
  <si>
    <t>Advertisements</t>
  </si>
  <si>
    <t>Facility Repairs &amp; 
     Rentals</t>
  </si>
  <si>
    <t>Equipment Repairs &amp; 
     Rentals</t>
  </si>
  <si>
    <t>Other Services</t>
  </si>
  <si>
    <t>EQUIPMENT</t>
  </si>
  <si>
    <t>Computers</t>
  </si>
  <si>
    <t>Robotics workstation, robot controller/spare, and microSD cards</t>
  </si>
  <si>
    <t>Printer</t>
  </si>
  <si>
    <t>Other Equipment</t>
  </si>
  <si>
    <t>Robot electronics, batteries/charger, spares, and lab test equipment</t>
  </si>
  <si>
    <t>SUPPLIES</t>
  </si>
  <si>
    <t>Office Supplies</t>
  </si>
  <si>
    <t>Dedicated Spotmicro workstation setup with divider, folders, and container</t>
  </si>
  <si>
    <t>Educational Supplies</t>
  </si>
  <si>
    <t>Education boards similar to elvis breadboard for students to prevent short burn outs.</t>
  </si>
  <si>
    <t>Computer Supplies</t>
  </si>
  <si>
    <t>Wiring, connectors, power disconnects, and backup storage</t>
  </si>
  <si>
    <t>Printing supplies</t>
  </si>
  <si>
    <t>Other Supplies</t>
  </si>
  <si>
    <t>Filament, fasteners, bearings, safety, and assembly tools</t>
  </si>
  <si>
    <t>MISCELLANEOUS</t>
  </si>
  <si>
    <t>Subtotal</t>
  </si>
  <si>
    <t>Foundation Surcharge</t>
  </si>
  <si>
    <t>Total</t>
  </si>
  <si>
    <t>FINANCE COMMITTEE NOTES:</t>
  </si>
  <si>
    <t>TRAVEL REQUEST #1 - Breakdown</t>
  </si>
  <si>
    <t>Name of Conference / Trip</t>
  </si>
  <si>
    <t># of Undergrads Going</t>
  </si>
  <si>
    <t>Travel Dates</t>
  </si>
  <si>
    <t>Reason for Travel Request</t>
  </si>
  <si>
    <t>Conference / Registration Fees</t>
  </si>
  <si>
    <t>Hotel</t>
  </si>
  <si>
    <t>Flights</t>
  </si>
  <si>
    <t xml:space="preserve">Gas </t>
  </si>
  <si>
    <t xml:space="preserve">Mileage </t>
  </si>
  <si>
    <t xml:space="preserve">Per Diem </t>
  </si>
  <si>
    <t>Rental Car</t>
  </si>
  <si>
    <t>Other (please describe above)</t>
  </si>
  <si>
    <t>TOTAL</t>
  </si>
  <si>
    <t>Total Amt Per Student</t>
  </si>
  <si>
    <t>Return to Main Appropriation Request</t>
  </si>
  <si>
    <t>TRAVEL REQUEST #2 - Breakdown</t>
  </si>
  <si>
    <t>Other (describe above)</t>
  </si>
  <si>
    <t>EVENT REQUEST #1 - Breakdown</t>
  </si>
  <si>
    <t>Name of Event</t>
  </si>
  <si>
    <t>Est. # of Attendees</t>
  </si>
  <si>
    <t>Event Date</t>
  </si>
  <si>
    <t xml:space="preserve">Description of Request </t>
  </si>
  <si>
    <r>
      <t xml:space="preserve">Brief Description of Items 
</t>
    </r>
    <r>
      <rPr>
        <b/>
        <i/>
        <sz val="11"/>
        <color theme="1"/>
        <rFont val="Aptos Narrow"/>
        <family val="2"/>
        <scheme val="minor"/>
      </rPr>
      <t>*75 character limit*</t>
    </r>
  </si>
  <si>
    <t>Food / Refreshments</t>
  </si>
  <si>
    <t>Supply Costs</t>
  </si>
  <si>
    <t>Facility Rentals</t>
  </si>
  <si>
    <t>Professional Services</t>
  </si>
  <si>
    <t>Honorarium</t>
  </si>
  <si>
    <t>EVENT REQUEST #2 - Breakdown</t>
  </si>
  <si>
    <t>EVENT REQUEST #3 - Breakdown</t>
  </si>
  <si>
    <t>SpotMicro Current Purchase Detail</t>
  </si>
  <si>
    <t>User-edited list recalculated from remaining line items. One physical SpotMicro dog; only fragile/short-prone parts have spares. Printed plastic parts excluded; filament included as a purchase estimate.</t>
  </si>
  <si>
    <t>Item</t>
  </si>
  <si>
    <t>Qty</t>
  </si>
  <si>
    <t>Unit Cost</t>
  </si>
  <si>
    <t>Extended Cost</t>
  </si>
  <si>
    <t>Quote/Source Link</t>
  </si>
  <si>
    <t>Quote Status</t>
  </si>
  <si>
    <t>Notes</t>
  </si>
  <si>
    <t>Food and drinks for club meetings and workshop build sessions</t>
  </si>
  <si>
    <t>Yes</t>
  </si>
  <si>
    <t>Beelink SER5 Pro mini PC robotics workstation, Ryzen 7 5825U, 16GB RAM, 500GB SSD</t>
  </si>
  <si>
    <t>https://www.newegg.com/beelink-ser-5-barebone-systems-mini-pc-amd-ryzen-5-5500u/p/2SW-0012-00209?item=9SIBSMJM023079&amp;source=region&amp;utm_source=google&amp;utm_medium=paid+shopping&amp;utm_campaign=knc-googlemkp-pc-_-pla-beelink+direct-_-barebone+systems+-+mini-pc-_-9SIBSMJM023079&amp;negg_topt=0&amp;id0=Google&amp;id1=19141281834&amp;id2=141459484262&amp;id3=&amp;id4=&amp;id5=pla-2521908262204&amp;id6=&amp;id7=1022546&amp;id8=&amp;id9=g&amp;id10=c&amp;id11=&amp;id12=Cj0KCQjw-frTBhCvARIsADv4XY6OmPw9RDiGFdVr3DsZdzfJXskW1o4CxskTQNWb244p54V_MntkcoMaAhrMEALw_wcB&amp;id13=&amp;id14=Y&amp;id15=&amp;id16=639428055260&amp;id17=&amp;id18=&amp;id19=&amp;id20=&amp;id21=pla&amp;id22=5293609592&amp;id23=online&amp;id24=9SIBSMJM023079&amp;id25=US&amp;id26=2521908262204&amp;id27=Y&amp;id28=&amp;id29=&amp;id30=2996184171574002713&amp;id31=en&amp;id32=&amp;id33=&amp;id34=&amp;gclsrc=aw.ds&amp;gad_source=1&amp;gad_campaignid=19141281834&amp;gbraid=0AAAAAD-YhmNKjvhjLNiFnpQlwUkKSVnER&amp;gclid=Cj0KCQjw-frTBhCvARIsADv4XY6OmPw9RDiGFdVr3DsZdzfJXskW1o4CxskTQNWb244p54V_MntkcoMaAhrMEALw_wcB</t>
  </si>
  <si>
    <t>Current web price seen: $389.95</t>
  </si>
  <si>
    <t>Under-$400 mini PC for Ubuntu 22.04, ROS 2 Humble, MuJoCo, RViz, VS Code, logs, and repo extensions.</t>
  </si>
  <si>
    <t>Raspberry Pi 3 Model B robot controller boards: 1 installed + 1 spare</t>
  </si>
  <si>
    <t>https://www.canakit.com/raspberry-pi-3-model-b.html</t>
  </si>
  <si>
    <t>Current web price seen: $35.00 each</t>
  </si>
  <si>
    <t>Spare included because GPIO/I2C robot wiring is easy to accidentally short.</t>
  </si>
  <si>
    <t>32GB+ microSD cards: 1 installed + 1 spare</t>
  </si>
  <si>
    <t>https://www.amazon.com/s?k=32GB+microSD+A1</t>
  </si>
  <si>
    <t>Estimate; attach selected listing</t>
  </si>
  <si>
    <t>Spare included because SD cards corrupt/fail during robot development.</t>
  </si>
  <si>
    <t>35kg high-torque metal gear servos, 25T, 7.4V class: 12 installed + 4 spares</t>
  </si>
  <si>
    <t>https://integy.shop/products/servos-digital-servos-for-rc-cars-boats-planes-helicopters-c30374</t>
  </si>
  <si>
    <t>Current search result price: $26.39 each</t>
  </si>
  <si>
    <t>Four spares cover accidental burnout, stripped gears, or one spare per leg; final robot uses 12 matching servos.</t>
  </si>
  <si>
    <t>PCA9685 16-channel I2C PWM/servo drivers: 1 installed + 1 spare</t>
  </si>
  <si>
    <t>https://www.adafruit.com/product/815</t>
  </si>
  <si>
    <t>Current web price seen: $14.95 each</t>
  </si>
  <si>
    <t>Spare included because servo-driver boards are easy to miswire/short.</t>
  </si>
  <si>
    <t>16x2 I2C LCD modules: 1 installed + 1 spare</t>
  </si>
  <si>
    <t>https://www.waveshare.com/product/raspberry-pi/displays/lcd1602-i2c-module.htm</t>
  </si>
  <si>
    <t>Current web price seen: $6.49 each</t>
  </si>
  <si>
    <t>Spare included because small I2C modules are easy to damage while wiring.</t>
  </si>
  <si>
    <t>Turnigy 4000mAh 2S 7.4V 40C LiPo battery w/ XT60</t>
  </si>
  <si>
    <t>https://hobbyking.com/en_us/turnigy-4000mah-2s-40c-lipo-pack-xt-60.html</t>
  </si>
  <si>
    <t>Current web price seen: $18.99</t>
  </si>
  <si>
    <t>Closest to repo-documented 2S 4000mAh LiPo.</t>
  </si>
  <si>
    <t>PowerHobby 5200mAh 2S 7.4V 50C LiPo battery w/ XT60</t>
  </si>
  <si>
    <t>https://www.powerhobby.com/products/powerhobby-2s-7-4v-5200mah-50c-lipo-battery-w-xt60-plug-adapter</t>
  </si>
  <si>
    <t>Current web price seen: $44.99</t>
  </si>
  <si>
    <t>Second runtime pack; useful but not a full second robot.</t>
  </si>
  <si>
    <t>LiPo balance charger, SkyRC iMAX B6AC V2 class</t>
  </si>
  <si>
    <t>https://www.pololu.com/product/2588</t>
  </si>
  <si>
    <t>Attach selected vendor quote</t>
  </si>
  <si>
    <t>One proper balance charger for LiPo safety.</t>
  </si>
  <si>
    <t>5V/5A UBEC or buck regulators: 1 installed + 1 spare</t>
  </si>
  <si>
    <t>https://www.amazon.com/s?k=5V+5A+UBEC+buck+converter</t>
  </si>
  <si>
    <t>Estimate; attached selected listing</t>
  </si>
  <si>
    <t>Spare included because power regulators are easy to short or over-stress.</t>
  </si>
  <si>
    <t>Servo tester for centering/calibration</t>
  </si>
  <si>
    <t>https://www.amazon.com/s?k=servo+tester</t>
  </si>
  <si>
    <t>Recommended assembly/calibration tool.</t>
  </si>
  <si>
    <t>Other Equipment - Educational Lab Equipment</t>
  </si>
  <si>
    <t>FNIRSI DSO-TC3 handheld oscilloscope/signal generator/component tester</t>
  </si>
  <si>
    <t>https://www.fnirsi.com/products/dso-tc3</t>
  </si>
  <si>
    <t>Current web price seen: $43.99 each</t>
  </si>
  <si>
    <t>Three portable oscilloscope/signal-generator stations for robotics debugging.</t>
  </si>
  <si>
    <t>FNIRSI DPS-150 0-30V 0-5A programmable DC power supplies</t>
  </si>
  <si>
    <t>https://www.fnirsi.com/products/dps-150</t>
  </si>
  <si>
    <t>Current web price seen: $69.99 each</t>
  </si>
  <si>
    <t>Three bench/lab power stations for robotics electronics.</t>
  </si>
  <si>
    <t>SparkFun USB Logic Analyzer - 24MHz/8-channel</t>
  </si>
  <si>
    <t>https://www.sparkfun.com/usb-logic-analyzer-24mhz-8-channel.html</t>
  </si>
  <si>
    <t>Current web price seen: $26.95 each</t>
  </si>
  <si>
    <t>Three laptop-connected signal/logic analyzer stations.</t>
  </si>
  <si>
    <t>SparkFun lead-free solder spool/tube</t>
  </si>
  <si>
    <t>https://sparkfuneducation.com/products/tools-accessories.html</t>
  </si>
  <si>
    <t>Current SparkFun education catalog price seen: $7.95</t>
  </si>
  <si>
    <t>Extra soldering consumable.</t>
  </si>
  <si>
    <t>SparkFun alligator clip with pigtail 10-pack</t>
  </si>
  <si>
    <t>Current SparkFun education catalog price seen: $6.95</t>
  </si>
  <si>
    <t>Signal/power hookup accessory for lab stations.</t>
  </si>
  <si>
    <t>SparkFun brass sponge tip cleaner</t>
  </si>
  <si>
    <t>Current SparkFun education catalog price seen: $2.95</t>
  </si>
  <si>
    <t>Extra soldering support item.</t>
  </si>
  <si>
    <t>SparkFun soldering iron stand</t>
  </si>
  <si>
    <t>Current SparkFun education catalog price seen: $5.95</t>
  </si>
  <si>
    <t>XT60 connector/adaptor kits: 1 working set + 1 spare</t>
  </si>
  <si>
    <t>https://www.amazon.com/s?k=XT60+connector+kit</t>
  </si>
  <si>
    <t>Power connectors are cheap and easy to damage/mis-solder.</t>
  </si>
  <si>
    <t>14 AWG silicone wire kit for servo power rail</t>
  </si>
  <si>
    <t>https://www.fermerry.com/products/fermerry-14-gauge-electrical-wire-silicone-cables-hook-up-wire-kit-6-colors-5ft-each-14-awg-stranded-wire</t>
  </si>
  <si>
    <t>Power wiring for servo rail.</t>
  </si>
  <si>
    <t>Dupont jumper wire assortments: 1 working set + 1 spare</t>
  </si>
  <si>
    <t>https://www.amazon.com/s?k=dupont+jumper+wire+kit</t>
  </si>
  <si>
    <t>Signal/I2C jumpers are easy to bend, lose, or short during debugging.</t>
  </si>
  <si>
    <t>Main power switch/disconnect or fuse holders: 1 installed + 1 spare</t>
  </si>
  <si>
    <t>https://www.amazon.com/s?k=XT60+switch+fuse+holder</t>
  </si>
  <si>
    <t>Safety disconnect/fuse for battery robot plus spare.</t>
  </si>
  <si>
    <t>1TB external SSD for repo backups, ROS bags, simulation logs, and project media</t>
  </si>
  <si>
    <t>https://www.amazon.com/s?k=1TB+external+SSD</t>
  </si>
  <si>
    <t>Supports MuJoCo/ROS development artifacts and backups.</t>
  </si>
  <si>
    <t>PLA filament, 1.75mm, 1kg spools for one dog</t>
  </si>
  <si>
    <t>https://filamentpricetracker.com/material/pla</t>
  </si>
  <si>
    <t>Estimate based on current PLA price trackers</t>
  </si>
  <si>
    <t>FILAMENT INCLUDED: KDY specifies PLA and 10-20% infill but not exact kg.</t>
  </si>
  <si>
    <t>Flexible/TPU filament, 1.75mm, 1kg spool for feet/paws</t>
  </si>
  <si>
    <t>https://www.amazon.com/s?k=TPU+filament+1.75mm+1kg</t>
  </si>
  <si>
    <t>FILAMENT INCLUDED: for flexible feet/paws if desired.</t>
  </si>
  <si>
    <t>M5x15 screws, pack</t>
  </si>
  <si>
    <t>https://www.amazon.com/s?k=M5x15+screws</t>
  </si>
  <si>
    <t>KDY base frame hardware.</t>
  </si>
  <si>
    <t>M4x20 screws, pack</t>
  </si>
  <si>
    <t>https://www.amazon.com/s?k=M4x20+screws</t>
  </si>
  <si>
    <t>M4x15 screws, pack</t>
  </si>
  <si>
    <t>https://www.amazon.com/s?k=M4x15+screws</t>
  </si>
  <si>
    <t>M4 nuts, pack</t>
  </si>
  <si>
    <t>https://www.amazon.com/s?k=M4+nuts</t>
  </si>
  <si>
    <t>M3x20 screws, pack</t>
  </si>
  <si>
    <t>https://www.amazon.com/s?k=M3x20+screws</t>
  </si>
  <si>
    <t>M3x10 screws, pack</t>
  </si>
  <si>
    <t>https://www.amazon.com/s?k=M3x10+screws</t>
  </si>
  <si>
    <t>KDY plus Mike shoulder hardware.</t>
  </si>
  <si>
    <t>M3 nuts, pack</t>
  </si>
  <si>
    <t>https://www.amazon.com/s?k=M3+nuts</t>
  </si>
  <si>
    <t>F625ZZ flanged bearings</t>
  </si>
  <si>
    <t>https://www.amazon.com/s?k=F625ZZ+bearing</t>
  </si>
  <si>
    <t>8 KDY base + 4 Mike shoulder reinforcement.</t>
  </si>
  <si>
    <t>M2.5x8 screws, pack</t>
  </si>
  <si>
    <t>https://www.amazon.com/s?k=M2.5x8+screws</t>
  </si>
  <si>
    <t>RPLidar mount hardware.</t>
  </si>
  <si>
    <t>Small wood/self-tapping screws assortment</t>
  </si>
  <si>
    <t>https://www.amazon.com/s?k=small+self+tapping+screws+assortment</t>
  </si>
  <si>
    <t>Electronics/mount fasteners.</t>
  </si>
  <si>
    <t>LiPo safe charging/storage bags for two batteries</t>
  </si>
  <si>
    <t>https://www.amazon.com/s?k=LiPo+safe+bag</t>
  </si>
  <si>
    <t>Safety storage/charging for LiPo packs.</t>
  </si>
  <si>
    <t>Hot glue gun/sticks</t>
  </si>
  <si>
    <t>https://www.amazon.com/s?k=hot+glue+gun+sticks</t>
  </si>
  <si>
    <t>KDY says hot glue is used for servo horns.</t>
  </si>
  <si>
    <t>Double-sided foam mounting tape</t>
  </si>
  <si>
    <t>https://www.amazon.com/s?k=double+sided+foam+tape</t>
  </si>
  <si>
    <t>Mike docs use foam tape for platforms.</t>
  </si>
  <si>
    <t>Metric hex driver / small screwdriver set</t>
  </si>
  <si>
    <t>https://www.amazon.com/s?k=metric+hex+driver+set</t>
  </si>
  <si>
    <t>Assembly tools for M2.5/M3/M4/M5 hardware.</t>
  </si>
  <si>
    <t>Abridged Summary of Finance Committee Standing Rules</t>
  </si>
  <si>
    <r>
      <t xml:space="preserve">Quotes </t>
    </r>
    <r>
      <rPr>
        <b/>
        <u/>
        <sz val="11"/>
        <rFont val="Aptos Narrow"/>
        <family val="2"/>
        <scheme val="minor"/>
      </rPr>
      <t xml:space="preserve">MUST </t>
    </r>
    <r>
      <rPr>
        <b/>
        <sz val="11"/>
        <rFont val="Aptos Narrow"/>
        <family val="2"/>
        <scheme val="minor"/>
      </rPr>
      <t xml:space="preserve">be provided for any single item exceeding $200.  Quotes </t>
    </r>
    <r>
      <rPr>
        <b/>
        <u/>
        <sz val="11"/>
        <rFont val="Aptos Narrow"/>
        <family val="2"/>
        <scheme val="minor"/>
      </rPr>
      <t>MUST</t>
    </r>
    <r>
      <rPr>
        <b/>
        <sz val="11"/>
        <rFont val="Aptos Narrow"/>
        <family val="2"/>
        <scheme val="minor"/>
      </rPr>
      <t xml:space="preserve"> be submitted with your request.  </t>
    </r>
  </si>
  <si>
    <t>***  Failure to do so will result in a 80% reduction of request. $400 max  ***</t>
  </si>
  <si>
    <t xml:space="preserve">Type of Request </t>
  </si>
  <si>
    <t xml:space="preserve">Maximum Funding Available </t>
  </si>
  <si>
    <t>Advertisement (Daily Lobo or Social media Ads)</t>
  </si>
  <si>
    <t>Professional Services (speaker, trainer, entertainer, etc.)</t>
  </si>
  <si>
    <r>
      <rPr>
        <b/>
        <sz val="11"/>
        <rFont val="Aptos Narrow"/>
        <family val="2"/>
        <scheme val="minor"/>
      </rPr>
      <t>Up</t>
    </r>
    <r>
      <rPr>
        <sz val="11"/>
        <rFont val="Aptos Narrow"/>
        <family val="2"/>
        <scheme val="minor"/>
      </rPr>
      <t xml:space="preserve"> </t>
    </r>
    <r>
      <rPr>
        <b/>
        <sz val="11"/>
        <rFont val="Aptos Narrow"/>
        <family val="2"/>
        <scheme val="minor"/>
      </rPr>
      <t>to</t>
    </r>
    <r>
      <rPr>
        <sz val="11"/>
        <rFont val="Aptos Narrow"/>
        <family val="2"/>
        <scheme val="minor"/>
      </rPr>
      <t xml:space="preserve"> 70% of requested amount, Max </t>
    </r>
    <r>
      <rPr>
        <b/>
        <sz val="11"/>
        <rFont val="Aptos Narrow"/>
        <family val="2"/>
        <scheme val="minor"/>
      </rPr>
      <t>(2) per academic year</t>
    </r>
  </si>
  <si>
    <t>Honorarium (cannot be paid to UNM employees or students)</t>
  </si>
  <si>
    <t>Travel (Total)</t>
  </si>
  <si>
    <r>
      <t xml:space="preserve">Total of 2 trips per academic year, up to $5,500 per trip. 
</t>
    </r>
    <r>
      <rPr>
        <b/>
        <sz val="12"/>
        <rFont val="Aptos Narrow"/>
        <family val="2"/>
        <scheme val="minor"/>
      </rPr>
      <t>**Funds included in the $5,500 include: airfare, mileage. Conference fees, and per diem**</t>
    </r>
  </si>
  <si>
    <t>Travel  - Per Diem (lodging and meals)</t>
  </si>
  <si>
    <r>
      <rPr>
        <b/>
        <sz val="11"/>
        <rFont val="Aptos Narrow"/>
        <family val="2"/>
        <scheme val="minor"/>
      </rPr>
      <t>&lt;10</t>
    </r>
    <r>
      <rPr>
        <sz val="11"/>
        <rFont val="Aptos Narrow"/>
        <family val="2"/>
        <scheme val="minor"/>
      </rPr>
      <t xml:space="preserve"> members $250, </t>
    </r>
    <r>
      <rPr>
        <b/>
        <sz val="11"/>
        <rFont val="Aptos Narrow"/>
        <family val="2"/>
        <scheme val="minor"/>
      </rPr>
      <t>up to</t>
    </r>
    <r>
      <rPr>
        <sz val="11"/>
        <rFont val="Aptos Narrow"/>
        <family val="2"/>
        <scheme val="minor"/>
      </rPr>
      <t xml:space="preserve"> six (6) consecutive days $1,500 max. ≥</t>
    </r>
    <r>
      <rPr>
        <b/>
        <sz val="11"/>
        <rFont val="Aptos Narrow"/>
        <family val="2"/>
        <scheme val="minor"/>
      </rPr>
      <t>10</t>
    </r>
    <r>
      <rPr>
        <sz val="11"/>
        <rFont val="Aptos Narrow"/>
        <family val="2"/>
        <scheme val="minor"/>
      </rPr>
      <t xml:space="preserve"> Members $350 per day</t>
    </r>
    <r>
      <rPr>
        <b/>
        <sz val="11"/>
        <rFont val="Aptos Narrow"/>
        <family val="2"/>
        <scheme val="minor"/>
      </rPr>
      <t xml:space="preserve"> up to</t>
    </r>
    <r>
      <rPr>
        <sz val="11"/>
        <rFont val="Aptos Narrow"/>
        <family val="2"/>
        <scheme val="minor"/>
      </rPr>
      <t xml:space="preserve"> six (6) consecutive days $2,100 max</t>
    </r>
  </si>
  <si>
    <t>Travel- Gas Mileage</t>
  </si>
  <si>
    <r>
      <t xml:space="preserve">.67 cents per mile, </t>
    </r>
    <r>
      <rPr>
        <b/>
        <sz val="11"/>
        <rFont val="Aptos Narrow"/>
        <family val="2"/>
        <scheme val="minor"/>
      </rPr>
      <t>up to</t>
    </r>
    <r>
      <rPr>
        <sz val="11"/>
        <rFont val="Aptos Narrow"/>
        <family val="2"/>
        <scheme val="minor"/>
      </rPr>
      <t xml:space="preserve"> two (2) vehicles @70%</t>
    </r>
  </si>
  <si>
    <t>Travel- Airfare (Quotes for 3 different airlines)</t>
  </si>
  <si>
    <r>
      <t xml:space="preserve">60% economy, </t>
    </r>
    <r>
      <rPr>
        <b/>
        <sz val="11"/>
        <rFont val="Aptos Narrow"/>
        <family val="2"/>
        <scheme val="minor"/>
      </rPr>
      <t>up to</t>
    </r>
    <r>
      <rPr>
        <sz val="11"/>
        <rFont val="Aptos Narrow"/>
        <family val="2"/>
        <scheme val="minor"/>
      </rPr>
      <t xml:space="preserve"> 6 members.</t>
    </r>
  </si>
  <si>
    <t>Conference / Registration / Entry Fees</t>
  </si>
  <si>
    <r>
      <t xml:space="preserve">70% </t>
    </r>
    <r>
      <rPr>
        <b/>
        <sz val="11"/>
        <rFont val="Aptos Narrow"/>
        <family val="2"/>
        <scheme val="minor"/>
      </rPr>
      <t>up to</t>
    </r>
    <r>
      <rPr>
        <sz val="11"/>
        <rFont val="Aptos Narrow"/>
        <family val="2"/>
        <scheme val="minor"/>
      </rPr>
      <t xml:space="preserve"> $2000 (per event)</t>
    </r>
  </si>
  <si>
    <t>Printing Supplies</t>
  </si>
  <si>
    <t>Desktop Computer</t>
  </si>
  <si>
    <t>Food / Refreshments (events)</t>
  </si>
  <si>
    <t>$250/event, up to $750 OR $1000 for a single event</t>
  </si>
  <si>
    <t>Food / Refreshments (organization meetings)</t>
  </si>
  <si>
    <t>Facility Rental</t>
  </si>
  <si>
    <t>70% of quote, up to $500; limit 2 rentals per year</t>
  </si>
  <si>
    <t>Postage</t>
  </si>
  <si>
    <t>Individual or group membership dues</t>
  </si>
  <si>
    <t xml:space="preserve">$0 - NOT FUNDED </t>
  </si>
  <si>
    <t xml:space="preserve">Traveling or moblie technology </t>
  </si>
  <si>
    <t>*15 Passenger Van (Unallowable per UNM policy)</t>
  </si>
  <si>
    <r>
      <t xml:space="preserve">UNM </t>
    </r>
    <r>
      <rPr>
        <b/>
        <i/>
        <sz val="11"/>
        <rFont val="Aptos Narrow"/>
        <family val="2"/>
        <scheme val="minor"/>
      </rPr>
      <t>does</t>
    </r>
    <r>
      <rPr>
        <i/>
        <sz val="11"/>
        <rFont val="Aptos Narrow"/>
        <family val="2"/>
        <scheme val="minor"/>
      </rPr>
      <t xml:space="preserve"> allow 12 passenger vehicles</t>
    </r>
  </si>
  <si>
    <t>New Student Organization</t>
  </si>
  <si>
    <t>$2,000 (&lt;10) Active members &amp; $2,500 (≥10) Active members. MUST provide a list of group members names.</t>
  </si>
  <si>
    <t>Defined as an organization that has NOT received funding in the past two semesters.</t>
  </si>
  <si>
    <r>
      <rPr>
        <sz val="12"/>
        <rFont val="Aptos Narrow"/>
        <family val="2"/>
        <scheme val="minor"/>
      </rPr>
      <t>All items funded by the Finance Committee including, but not limited to, printers and computers, must be stored on campus,</t>
    </r>
    <r>
      <rPr>
        <b/>
        <sz val="12"/>
        <rFont val="Aptos Narrow"/>
        <family val="2"/>
        <scheme val="minor"/>
      </rPr>
      <t xml:space="preserve"> excluding</t>
    </r>
    <r>
      <rPr>
        <sz val="12"/>
        <rFont val="Aptos Narrow"/>
        <family val="2"/>
        <scheme val="minor"/>
      </rPr>
      <t xml:space="preserve"> individual residential hall rooms. </t>
    </r>
  </si>
  <si>
    <t xml:space="preserve">The full version of the standing rules can be found here: </t>
  </si>
  <si>
    <t>https://asunm.unm.edu/government/governing-documents.html</t>
  </si>
  <si>
    <t>ASUNM funding prohibits groups from violating the anti-donation clause which states groups cannot use funding to spend, give away, or allow free use of university resources to benefit other organizations or individuals. This includes but is not limited to financial assets (cash), property (supplies, equipment, or furniture), provided services, and employee paid work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</si>
</sst>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3" formatCode="_(* #,##0.00_);_(* \(#,##0.00\);_(* &quot;-&quot;??_);_(@_)"/>
    <numFmt numFmtId="164" formatCode="[&lt;=9999999]###\-####;\(###\)\ ###\-####"/>
    <numFmt numFmtId="165" formatCode="&quot;$&quot;#,##0"/>
  </numFmts>
  <fonts count="28">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name val="Aptos Narrow"/>
      <family val="2"/>
      <scheme val="minor"/>
    </font>
    <font>
      <sz val="11"/>
      <color rgb="FFFF0000"/>
      <name val="Aptos Narrow"/>
      <family val="2"/>
      <scheme val="minor"/>
    </font>
    <font>
      <b/>
      <sz val="24"/>
      <color theme="1"/>
      <name val="Aptos Narrow"/>
      <family val="2"/>
      <scheme val="minor"/>
    </font>
    <font>
      <u/>
      <sz val="11"/>
      <color theme="10"/>
      <name val="Aptos Narrow"/>
      <family val="2"/>
      <scheme val="minor"/>
    </font>
    <font>
      <b/>
      <sz val="11"/>
      <color rgb="FFFF0000"/>
      <name val="Aptos Narrow"/>
      <family val="2"/>
      <scheme val="minor"/>
    </font>
    <font>
      <b/>
      <sz val="11"/>
      <name val="Aptos Narrow"/>
      <family val="2"/>
      <scheme val="minor"/>
    </font>
    <font>
      <sz val="10"/>
      <color rgb="FFFF0000"/>
      <name val="Aptos Narrow"/>
      <family val="2"/>
      <scheme val="minor"/>
    </font>
    <font>
      <sz val="9"/>
      <color indexed="81"/>
      <name val="Tahoma"/>
      <family val="2"/>
    </font>
    <font>
      <b/>
      <sz val="9"/>
      <color indexed="81"/>
      <name val="Tahoma"/>
      <family val="2"/>
    </font>
    <font>
      <i/>
      <sz val="11"/>
      <color theme="1"/>
      <name val="Aptos Narrow"/>
      <family val="2"/>
      <scheme val="minor"/>
    </font>
    <font>
      <b/>
      <i/>
      <sz val="11"/>
      <color theme="1"/>
      <name val="Aptos Narrow"/>
      <family val="2"/>
      <scheme val="minor"/>
    </font>
    <font>
      <sz val="12"/>
      <color theme="1"/>
      <name val="Aptos Narrow"/>
      <family val="2"/>
      <scheme val="minor"/>
    </font>
    <font>
      <sz val="11"/>
      <color rgb="FF0000FF"/>
      <name val="Aptos Narrow"/>
      <family val="2"/>
      <scheme val="minor"/>
    </font>
    <font>
      <b/>
      <sz val="14"/>
      <name val="Aptos Narrow"/>
      <family val="2"/>
      <scheme val="minor"/>
    </font>
    <font>
      <b/>
      <i/>
      <sz val="12"/>
      <name val="Aptos Narrow"/>
      <family val="2"/>
      <scheme val="minor"/>
    </font>
    <font>
      <sz val="16"/>
      <name val="Aptos Narrow"/>
      <family val="2"/>
      <scheme val="minor"/>
    </font>
    <font>
      <u/>
      <sz val="16"/>
      <name val="Aptos Narrow"/>
      <family val="2"/>
      <scheme val="minor"/>
    </font>
    <font>
      <u/>
      <sz val="11"/>
      <name val="Aptos Narrow"/>
      <family val="2"/>
      <scheme val="minor"/>
    </font>
    <font>
      <b/>
      <u/>
      <sz val="11"/>
      <name val="Aptos Narrow"/>
      <family val="2"/>
      <scheme val="minor"/>
    </font>
    <font>
      <b/>
      <sz val="12"/>
      <name val="Aptos Narrow"/>
      <family val="2"/>
      <scheme val="minor"/>
    </font>
    <font>
      <sz val="12"/>
      <name val="Aptos Narrow"/>
      <family val="2"/>
      <scheme val="minor"/>
    </font>
    <font>
      <i/>
      <sz val="11"/>
      <name val="Aptos Narrow"/>
      <family val="2"/>
      <scheme val="minor"/>
    </font>
    <font>
      <b/>
      <i/>
      <sz val="11"/>
      <name val="Aptos Narrow"/>
      <family val="2"/>
      <scheme val="minor"/>
    </font>
    <font>
      <sz val="11"/>
      <color rgb="FF000000"/>
      <name val="Aptos Narrow"/>
      <charset val="1"/>
    </font>
  </fonts>
  <fills count="8">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solid">
        <fgColor theme="1"/>
        <bgColor indexed="64"/>
      </patternFill>
    </fill>
    <fill>
      <patternFill patternType="solid">
        <fgColor theme="2" tint="-0.249977111117893"/>
        <bgColor indexed="64"/>
      </patternFill>
    </fill>
    <fill>
      <patternFill patternType="solid">
        <fgColor theme="3" tint="0.749992370372631"/>
        <bgColor indexed="64"/>
      </patternFill>
    </fill>
    <fill>
      <patternFill patternType="solid">
        <fgColor theme="4" tint="0.59999389629810485"/>
        <bgColor indexed="64"/>
      </patternFill>
    </fill>
  </fills>
  <borders count="31">
    <border>
      <left/>
      <right/>
      <top/>
      <bottom/>
      <diagonal/>
    </border>
    <border>
      <left/>
      <right/>
      <top/>
      <bottom style="double">
        <color indexed="64"/>
      </bottom>
      <diagonal/>
    </border>
    <border>
      <left/>
      <right/>
      <top/>
      <bottom style="thin">
        <color indexed="64"/>
      </bottom>
      <diagonal/>
    </border>
    <border>
      <left/>
      <right/>
      <top style="thin">
        <color indexed="64"/>
      </top>
      <bottom style="double">
        <color indexed="64"/>
      </bottom>
      <diagonal/>
    </border>
    <border>
      <left/>
      <right/>
      <top style="thin">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0" fontId="7" fillId="0" borderId="0" applyNumberFormat="0" applyFill="0" applyBorder="0" applyAlignment="0" applyProtection="0"/>
  </cellStyleXfs>
  <cellXfs count="259">
    <xf numFmtId="0" fontId="0" fillId="0" borderId="0" xfId="0"/>
    <xf numFmtId="0" fontId="0" fillId="2" borderId="2" xfId="0" applyFill="1" applyBorder="1" applyAlignment="1" applyProtection="1">
      <alignment horizontal="center"/>
      <protection locked="0"/>
    </xf>
    <xf numFmtId="0" fontId="0" fillId="2" borderId="2" xfId="0" applyFill="1" applyBorder="1" applyProtection="1">
      <protection locked="0"/>
    </xf>
    <xf numFmtId="0" fontId="0" fillId="2" borderId="17" xfId="0" applyFill="1" applyBorder="1" applyProtection="1">
      <protection locked="0"/>
      <extLst>
        <ext xmlns:xfpb="http://schemas.microsoft.com/office/spreadsheetml/2022/featurepropertybag" uri="{C7286773-470A-42A8-94C5-96B5CB345126}">
          <xfpb:xfComplement i="0"/>
        </ext>
      </extLst>
    </xf>
    <xf numFmtId="0" fontId="0" fillId="2" borderId="23" xfId="0" applyFill="1" applyBorder="1" applyProtection="1">
      <protection locked="0"/>
      <extLst>
        <ext xmlns:xfpb="http://schemas.microsoft.com/office/spreadsheetml/2022/featurepropertybag" uri="{C7286773-470A-42A8-94C5-96B5CB345126}">
          <xfpb:xfComplement i="0"/>
        </ext>
      </extLst>
    </xf>
    <xf numFmtId="43" fontId="0" fillId="2" borderId="18" xfId="1" applyFont="1" applyFill="1" applyBorder="1" applyProtection="1">
      <protection locked="0"/>
    </xf>
    <xf numFmtId="0" fontId="0" fillId="2" borderId="18" xfId="0" applyFill="1" applyBorder="1" applyProtection="1">
      <protection locked="0"/>
      <extLst>
        <ext xmlns:xfpb="http://schemas.microsoft.com/office/spreadsheetml/2022/featurepropertybag" uri="{C7286773-470A-42A8-94C5-96B5CB345126}">
          <xfpb:xfComplement i="0"/>
        </ext>
      </extLst>
    </xf>
    <xf numFmtId="43" fontId="4" fillId="3" borderId="20" xfId="1" applyFont="1" applyFill="1" applyBorder="1" applyProtection="1">
      <protection locked="0"/>
    </xf>
    <xf numFmtId="43" fontId="4" fillId="3" borderId="29" xfId="1" applyFont="1" applyFill="1" applyBorder="1" applyProtection="1">
      <protection locked="0"/>
    </xf>
    <xf numFmtId="43" fontId="0" fillId="2" borderId="28" xfId="1" applyFont="1" applyFill="1" applyBorder="1" applyProtection="1">
      <protection locked="0"/>
    </xf>
    <xf numFmtId="0" fontId="0" fillId="2" borderId="28" xfId="0" applyFill="1" applyBorder="1" applyProtection="1">
      <protection locked="0"/>
      <extLst>
        <ext xmlns:xfpb="http://schemas.microsoft.com/office/spreadsheetml/2022/featurepropertybag" uri="{C7286773-470A-42A8-94C5-96B5CB345126}">
          <xfpb:xfComplement i="0"/>
        </ext>
      </extLst>
    </xf>
    <xf numFmtId="0" fontId="0" fillId="2" borderId="16" xfId="0" applyFill="1" applyBorder="1" applyAlignment="1" applyProtection="1">
      <alignment horizontal="center" vertical="top" wrapText="1"/>
      <protection locked="0"/>
    </xf>
    <xf numFmtId="0" fontId="6" fillId="0" borderId="0" xfId="0" applyFont="1" applyAlignment="1">
      <alignment vertical="center" wrapText="1"/>
    </xf>
    <xf numFmtId="0" fontId="7" fillId="0" borderId="0" xfId="2" applyProtection="1"/>
    <xf numFmtId="0" fontId="0" fillId="0" borderId="4" xfId="0" applyBorder="1"/>
    <xf numFmtId="0" fontId="2" fillId="0" borderId="0" xfId="0" applyFont="1" applyAlignment="1">
      <alignment vertical="center"/>
    </xf>
    <xf numFmtId="0" fontId="0" fillId="0" borderId="14" xfId="0" applyBorder="1"/>
    <xf numFmtId="0" fontId="3" fillId="0" borderId="0" xfId="0" applyFont="1" applyAlignment="1">
      <alignment horizontal="left" indent="2"/>
    </xf>
    <xf numFmtId="0" fontId="3" fillId="0" borderId="0" xfId="0" applyFont="1"/>
    <xf numFmtId="0" fontId="3" fillId="0" borderId="0" xfId="0" applyFont="1" applyAlignment="1">
      <alignment horizontal="left" indent="1"/>
    </xf>
    <xf numFmtId="0" fontId="0" fillId="0" borderId="15" xfId="0" applyBorder="1"/>
    <xf numFmtId="0" fontId="0" fillId="0" borderId="11" xfId="0" applyBorder="1"/>
    <xf numFmtId="0" fontId="0" fillId="0" borderId="12" xfId="0" applyBorder="1"/>
    <xf numFmtId="0" fontId="0" fillId="0" borderId="13" xfId="0" applyBorder="1"/>
    <xf numFmtId="0" fontId="0" fillId="5" borderId="21" xfId="0" applyFill="1" applyBorder="1"/>
    <xf numFmtId="0" fontId="0" fillId="5" borderId="19" xfId="0" applyFill="1" applyBorder="1"/>
    <xf numFmtId="0" fontId="2" fillId="5" borderId="19" xfId="0" applyFont="1" applyFill="1" applyBorder="1" applyAlignment="1">
      <alignment horizontal="center" vertical="center"/>
    </xf>
    <xf numFmtId="0" fontId="9" fillId="5" borderId="16" xfId="0" applyFont="1" applyFill="1" applyBorder="1" applyAlignment="1">
      <alignment horizontal="center" vertical="center"/>
    </xf>
    <xf numFmtId="0" fontId="2" fillId="5" borderId="22" xfId="0" applyFont="1" applyFill="1" applyBorder="1" applyAlignment="1">
      <alignment horizontal="center" vertical="center"/>
    </xf>
    <xf numFmtId="0" fontId="4" fillId="0" borderId="14" xfId="0" applyFont="1" applyBorder="1" applyAlignment="1">
      <alignment vertical="top"/>
    </xf>
    <xf numFmtId="0" fontId="5" fillId="0" borderId="0" xfId="0" applyFont="1"/>
    <xf numFmtId="0" fontId="10" fillId="0" borderId="0" xfId="0" applyFont="1" applyAlignment="1">
      <alignment horizontal="left"/>
    </xf>
    <xf numFmtId="0" fontId="8" fillId="0" borderId="0" xfId="0" applyFont="1" applyAlignment="1">
      <alignment horizontal="left" indent="1"/>
    </xf>
    <xf numFmtId="0" fontId="5" fillId="0" borderId="0" xfId="0" applyFont="1" applyAlignment="1">
      <alignment horizontal="center"/>
    </xf>
    <xf numFmtId="0" fontId="5" fillId="0" borderId="15" xfId="0" applyFont="1" applyBorder="1"/>
    <xf numFmtId="0" fontId="10" fillId="0" borderId="12" xfId="0" applyFont="1" applyBorder="1" applyAlignment="1">
      <alignment horizontal="left"/>
    </xf>
    <xf numFmtId="0" fontId="3" fillId="0" borderId="0" xfId="0" applyFont="1" applyAlignment="1">
      <alignment horizontal="right" vertical="top" wrapText="1"/>
    </xf>
    <xf numFmtId="0" fontId="4" fillId="0" borderId="0" xfId="0" applyFont="1" applyAlignment="1">
      <alignment horizontal="center"/>
    </xf>
    <xf numFmtId="0" fontId="13" fillId="0" borderId="0" xfId="0" applyFont="1"/>
    <xf numFmtId="0" fontId="0" fillId="5" borderId="0" xfId="0" applyFill="1"/>
    <xf numFmtId="0" fontId="0" fillId="5" borderId="2" xfId="0" applyFill="1" applyBorder="1"/>
    <xf numFmtId="0" fontId="3" fillId="5" borderId="28" xfId="0" applyFont="1" applyFill="1" applyBorder="1" applyAlignment="1">
      <alignment horizontal="center" wrapText="1"/>
    </xf>
    <xf numFmtId="0" fontId="3" fillId="0" borderId="0" xfId="0" applyFont="1" applyAlignment="1">
      <alignment horizontal="center" wrapText="1"/>
    </xf>
    <xf numFmtId="0" fontId="3" fillId="0" borderId="0" xfId="0" applyFont="1" applyAlignment="1">
      <alignment horizontal="center"/>
    </xf>
    <xf numFmtId="0" fontId="0" fillId="0" borderId="20" xfId="0" applyBorder="1" applyAlignment="1">
      <alignment vertical="center"/>
    </xf>
    <xf numFmtId="43" fontId="0" fillId="0" borderId="18" xfId="1" applyFont="1" applyFill="1" applyBorder="1" applyProtection="1"/>
    <xf numFmtId="0" fontId="0" fillId="0" borderId="20" xfId="0" applyBorder="1" applyAlignment="1">
      <alignment horizontal="center"/>
    </xf>
    <xf numFmtId="43" fontId="4" fillId="0" borderId="20" xfId="1" applyFont="1" applyFill="1" applyBorder="1" applyProtection="1"/>
    <xf numFmtId="43" fontId="0" fillId="0" borderId="16" xfId="1" applyFont="1" applyFill="1" applyBorder="1" applyProtection="1"/>
    <xf numFmtId="0" fontId="0" fillId="0" borderId="29" xfId="0" applyBorder="1" applyAlignment="1">
      <alignment vertical="center"/>
    </xf>
    <xf numFmtId="43" fontId="0" fillId="0" borderId="28" xfId="1" applyFont="1" applyFill="1" applyBorder="1" applyProtection="1"/>
    <xf numFmtId="0" fontId="0" fillId="0" borderId="29" xfId="0" applyBorder="1" applyAlignment="1">
      <alignment horizontal="center"/>
    </xf>
    <xf numFmtId="43" fontId="4" fillId="0" borderId="29" xfId="1" applyFont="1" applyFill="1" applyBorder="1" applyProtection="1"/>
    <xf numFmtId="43" fontId="0" fillId="0" borderId="17" xfId="1" applyFont="1" applyFill="1" applyBorder="1" applyProtection="1"/>
    <xf numFmtId="0" fontId="0" fillId="0" borderId="0" xfId="0" applyAlignment="1">
      <alignment vertical="center"/>
    </xf>
    <xf numFmtId="43" fontId="7" fillId="0" borderId="0" xfId="2" applyNumberFormat="1" applyFill="1" applyBorder="1" applyAlignment="1" applyProtection="1">
      <alignment horizontal="left" vertical="center"/>
    </xf>
    <xf numFmtId="43" fontId="0" fillId="0" borderId="0" xfId="1" applyFont="1" applyFill="1" applyBorder="1" applyProtection="1"/>
    <xf numFmtId="0" fontId="0" fillId="0" borderId="0" xfId="0" applyAlignment="1">
      <alignment horizontal="center"/>
    </xf>
    <xf numFmtId="43" fontId="4" fillId="0" borderId="0" xfId="1" applyFont="1" applyFill="1" applyBorder="1" applyProtection="1"/>
    <xf numFmtId="0" fontId="0" fillId="0" borderId="0" xfId="0" applyAlignment="1">
      <alignment horizontal="left" vertical="top" wrapText="1"/>
    </xf>
    <xf numFmtId="43" fontId="0" fillId="0" borderId="0" xfId="1" applyFont="1" applyFill="1" applyBorder="1" applyAlignment="1" applyProtection="1">
      <alignment horizontal="left" vertical="center"/>
    </xf>
    <xf numFmtId="0" fontId="0" fillId="0" borderId="2" xfId="0" applyBorder="1"/>
    <xf numFmtId="43" fontId="0" fillId="0" borderId="0" xfId="1" applyFont="1" applyFill="1" applyBorder="1" applyAlignment="1" applyProtection="1"/>
    <xf numFmtId="0" fontId="0" fillId="0" borderId="20" xfId="0" applyBorder="1" applyAlignment="1">
      <alignment wrapText="1"/>
    </xf>
    <xf numFmtId="43" fontId="0" fillId="0" borderId="16" xfId="1" applyFont="1" applyBorder="1" applyProtection="1"/>
    <xf numFmtId="43" fontId="0" fillId="0" borderId="17" xfId="1" applyFont="1" applyBorder="1" applyProtection="1"/>
    <xf numFmtId="0" fontId="0" fillId="0" borderId="29" xfId="0" applyBorder="1" applyAlignment="1">
      <alignment wrapText="1"/>
    </xf>
    <xf numFmtId="0" fontId="0" fillId="0" borderId="0" xfId="0" applyAlignment="1">
      <alignment wrapText="1"/>
    </xf>
    <xf numFmtId="43" fontId="0" fillId="0" borderId="4" xfId="1" applyFont="1" applyFill="1" applyBorder="1" applyAlignment="1" applyProtection="1"/>
    <xf numFmtId="0" fontId="3" fillId="0" borderId="0" xfId="0" applyFont="1" applyAlignment="1">
      <alignment horizontal="right"/>
    </xf>
    <xf numFmtId="43" fontId="0" fillId="0" borderId="0" xfId="1" applyFont="1" applyBorder="1" applyAlignment="1" applyProtection="1">
      <alignment horizontal="center"/>
    </xf>
    <xf numFmtId="0" fontId="0" fillId="0" borderId="0" xfId="0" applyAlignment="1">
      <alignment vertical="top" wrapText="1"/>
    </xf>
    <xf numFmtId="43" fontId="0" fillId="0" borderId="2" xfId="0" applyNumberFormat="1" applyBorder="1"/>
    <xf numFmtId="43" fontId="0" fillId="0" borderId="3" xfId="0" applyNumberFormat="1" applyBorder="1"/>
    <xf numFmtId="0" fontId="0" fillId="0" borderId="0" xfId="0" applyAlignment="1">
      <alignment horizontal="center" vertical="top" wrapText="1"/>
    </xf>
    <xf numFmtId="0" fontId="3" fillId="0" borderId="0" xfId="0" applyFont="1" applyAlignment="1">
      <alignment horizontal="right" vertical="center" wrapText="1"/>
    </xf>
    <xf numFmtId="0" fontId="3" fillId="0" borderId="0" xfId="0" applyFont="1" applyAlignment="1">
      <alignment horizontal="right" wrapText="1"/>
    </xf>
    <xf numFmtId="0" fontId="0" fillId="0" borderId="19" xfId="0" applyBorder="1"/>
    <xf numFmtId="43" fontId="0" fillId="0" borderId="2" xfId="1" applyFont="1" applyBorder="1" applyProtection="1"/>
    <xf numFmtId="43" fontId="0" fillId="0" borderId="1" xfId="1" applyFont="1" applyBorder="1" applyAlignment="1" applyProtection="1">
      <alignment horizontal="center"/>
    </xf>
    <xf numFmtId="43" fontId="0" fillId="0" borderId="1" xfId="1" applyFont="1" applyFill="1" applyBorder="1" applyAlignment="1" applyProtection="1">
      <alignment horizontal="center"/>
    </xf>
    <xf numFmtId="0" fontId="0" fillId="0" borderId="0" xfId="0" applyAlignment="1">
      <alignment horizontal="right"/>
    </xf>
    <xf numFmtId="43" fontId="0" fillId="0" borderId="0" xfId="0" applyNumberFormat="1"/>
    <xf numFmtId="0" fontId="7" fillId="0" borderId="0" xfId="2" applyFill="1" applyAlignment="1" applyProtection="1"/>
    <xf numFmtId="43" fontId="0" fillId="0" borderId="3" xfId="1" applyFont="1" applyBorder="1" applyAlignment="1" applyProtection="1">
      <alignment horizontal="center"/>
    </xf>
    <xf numFmtId="43" fontId="0" fillId="0" borderId="3" xfId="1" applyFont="1" applyFill="1" applyBorder="1" applyAlignment="1" applyProtection="1">
      <alignment horizontal="center"/>
    </xf>
    <xf numFmtId="43" fontId="0" fillId="0" borderId="0" xfId="1" applyFont="1" applyBorder="1" applyProtection="1"/>
    <xf numFmtId="43" fontId="0" fillId="0" borderId="3" xfId="1" applyFont="1" applyBorder="1" applyProtection="1"/>
    <xf numFmtId="0" fontId="3" fillId="5" borderId="29" xfId="0" applyFont="1" applyFill="1" applyBorder="1" applyAlignment="1">
      <alignment horizontal="center" wrapText="1"/>
    </xf>
    <xf numFmtId="0" fontId="3" fillId="6" borderId="20" xfId="0" applyFont="1" applyFill="1" applyBorder="1" applyAlignment="1">
      <alignment horizontal="center" wrapText="1"/>
    </xf>
    <xf numFmtId="0" fontId="3" fillId="6" borderId="16" xfId="0" applyFont="1" applyFill="1" applyBorder="1" applyAlignment="1">
      <alignment horizontal="center" wrapText="1"/>
    </xf>
    <xf numFmtId="0" fontId="3" fillId="5" borderId="20" xfId="0" applyFont="1" applyFill="1" applyBorder="1" applyAlignment="1">
      <alignment horizontal="center" wrapText="1"/>
    </xf>
    <xf numFmtId="0" fontId="3" fillId="5" borderId="18" xfId="0" applyFont="1" applyFill="1" applyBorder="1" applyAlignment="1">
      <alignment horizontal="center" wrapText="1"/>
    </xf>
    <xf numFmtId="0" fontId="3" fillId="5" borderId="29" xfId="0" applyFont="1" applyFill="1" applyBorder="1" applyAlignment="1">
      <alignment horizontal="left" wrapText="1"/>
    </xf>
    <xf numFmtId="0" fontId="0" fillId="0" borderId="29" xfId="0" applyBorder="1" applyAlignment="1">
      <alignment horizontal="right"/>
    </xf>
    <xf numFmtId="0" fontId="0" fillId="0" borderId="20" xfId="0" applyBorder="1" applyAlignment="1">
      <alignment horizontal="right"/>
    </xf>
    <xf numFmtId="0" fontId="3" fillId="6" borderId="29" xfId="0" applyFont="1" applyFill="1" applyBorder="1" applyAlignment="1">
      <alignment horizontal="center" wrapText="1"/>
    </xf>
    <xf numFmtId="0" fontId="3" fillId="6" borderId="17" xfId="0" applyFont="1" applyFill="1" applyBorder="1" applyAlignment="1">
      <alignment horizontal="center" wrapText="1"/>
    </xf>
    <xf numFmtId="0" fontId="3" fillId="5" borderId="19" xfId="0" applyFont="1" applyFill="1" applyBorder="1" applyAlignment="1">
      <alignment horizontal="center" wrapText="1"/>
    </xf>
    <xf numFmtId="0" fontId="0" fillId="0" borderId="17" xfId="0" applyBorder="1" applyAlignment="1">
      <alignment horizontal="left" vertical="top" wrapText="1"/>
    </xf>
    <xf numFmtId="6" fontId="15" fillId="0" borderId="16" xfId="0" applyNumberFormat="1" applyFont="1" applyBorder="1" applyAlignment="1">
      <alignment horizontal="center" vertical="center"/>
    </xf>
    <xf numFmtId="6" fontId="15" fillId="0" borderId="0" xfId="0" applyNumberFormat="1" applyFont="1" applyAlignment="1">
      <alignment horizontal="center" vertical="center"/>
    </xf>
    <xf numFmtId="0" fontId="4" fillId="0" borderId="0" xfId="0" applyFont="1"/>
    <xf numFmtId="0" fontId="18" fillId="0" borderId="0" xfId="0" applyFont="1" applyAlignment="1">
      <alignment horizontal="left" indent="1"/>
    </xf>
    <xf numFmtId="0" fontId="4" fillId="0" borderId="0" xfId="0" applyFont="1" applyAlignment="1">
      <alignment wrapText="1"/>
    </xf>
    <xf numFmtId="0" fontId="21" fillId="0" borderId="0" xfId="2" applyFont="1" applyFill="1"/>
    <xf numFmtId="0" fontId="22" fillId="0" borderId="17" xfId="0" applyFont="1" applyBorder="1" applyAlignment="1">
      <alignment horizontal="left" vertical="center" wrapText="1" indent="1"/>
    </xf>
    <xf numFmtId="165" fontId="4" fillId="0" borderId="16" xfId="0" applyNumberFormat="1" applyFont="1" applyBorder="1" applyAlignment="1">
      <alignment horizontal="center"/>
    </xf>
    <xf numFmtId="6" fontId="24" fillId="0" borderId="16" xfId="0" applyNumberFormat="1" applyFont="1" applyBorder="1" applyAlignment="1">
      <alignment horizontal="center" vertical="center"/>
    </xf>
    <xf numFmtId="0" fontId="24" fillId="0" borderId="16" xfId="0" applyFont="1" applyBorder="1" applyAlignment="1">
      <alignment horizontal="left" vertical="center" indent="1"/>
    </xf>
    <xf numFmtId="0" fontId="4" fillId="0" borderId="16" xfId="0" applyFont="1" applyBorder="1" applyAlignment="1">
      <alignment horizontal="left" indent="1"/>
    </xf>
    <xf numFmtId="0" fontId="4" fillId="0" borderId="16" xfId="0" applyFont="1" applyBorder="1" applyAlignment="1">
      <alignment horizontal="center"/>
    </xf>
    <xf numFmtId="6" fontId="24" fillId="0" borderId="16" xfId="0" applyNumberFormat="1" applyFont="1" applyBorder="1" applyAlignment="1">
      <alignment horizontal="center" vertical="center" wrapText="1"/>
    </xf>
    <xf numFmtId="165" fontId="4" fillId="0" borderId="16" xfId="0" applyNumberFormat="1" applyFont="1" applyBorder="1" applyAlignment="1">
      <alignment horizontal="center" wrapText="1"/>
    </xf>
    <xf numFmtId="0" fontId="23" fillId="5" borderId="16" xfId="0" applyFont="1" applyFill="1" applyBorder="1" applyAlignment="1">
      <alignment horizontal="center" vertical="center"/>
    </xf>
    <xf numFmtId="0" fontId="13" fillId="0" borderId="16" xfId="0" applyFont="1" applyBorder="1" applyAlignment="1">
      <alignment horizontal="left" wrapText="1" indent="1"/>
    </xf>
    <xf numFmtId="0" fontId="4" fillId="0" borderId="17" xfId="0" applyFont="1" applyBorder="1" applyAlignment="1">
      <alignment horizontal="left" indent="1"/>
    </xf>
    <xf numFmtId="0" fontId="0" fillId="0" borderId="26" xfId="0" applyBorder="1"/>
    <xf numFmtId="0" fontId="0" fillId="0" borderId="16" xfId="0" applyBorder="1" applyAlignment="1">
      <alignment horizontal="left" vertical="center" indent="1"/>
    </xf>
    <xf numFmtId="0" fontId="0" fillId="0" borderId="16" xfId="0" applyBorder="1" applyAlignment="1">
      <alignment horizontal="left" indent="1"/>
    </xf>
    <xf numFmtId="165" fontId="0" fillId="0" borderId="16" xfId="0" applyNumberFormat="1" applyBorder="1" applyAlignment="1">
      <alignment horizontal="center"/>
    </xf>
    <xf numFmtId="0" fontId="0" fillId="0" borderId="30" xfId="0" applyBorder="1" applyAlignment="1">
      <alignment horizontal="left" indent="1"/>
    </xf>
    <xf numFmtId="0" fontId="0" fillId="0" borderId="0" xfId="0" applyAlignment="1">
      <alignment horizontal="left" vertical="top" indent="10"/>
    </xf>
    <xf numFmtId="0" fontId="24" fillId="0" borderId="0" xfId="0" applyFont="1" applyAlignment="1">
      <alignment horizontal="left" vertical="top"/>
    </xf>
    <xf numFmtId="0" fontId="24" fillId="0" borderId="0" xfId="0" applyFont="1" applyAlignment="1">
      <alignment horizontal="left" vertical="top" wrapText="1" indent="9"/>
    </xf>
    <xf numFmtId="0" fontId="0" fillId="0" borderId="0" xfId="0" applyAlignment="1">
      <alignment horizontal="left" vertical="top" indent="9"/>
    </xf>
    <xf numFmtId="0" fontId="24" fillId="0" borderId="0" xfId="0" applyFont="1" applyAlignment="1">
      <alignment horizontal="left" vertical="top" indent="9"/>
    </xf>
    <xf numFmtId="0" fontId="24" fillId="0" borderId="0" xfId="0" applyFont="1" applyAlignment="1">
      <alignment horizontal="left" vertical="top" indent="12"/>
    </xf>
    <xf numFmtId="0" fontId="0" fillId="0" borderId="0" xfId="0" applyAlignment="1">
      <alignment horizontal="left" vertical="top" wrapText="1" indent="12"/>
    </xf>
    <xf numFmtId="0" fontId="0" fillId="0" borderId="0" xfId="0" applyAlignment="1">
      <alignment horizontal="left" vertical="top" wrapText="1" indent="9"/>
    </xf>
    <xf numFmtId="0" fontId="24" fillId="0" borderId="0" xfId="0" applyFont="1" applyAlignment="1">
      <alignment horizontal="left" vertical="top" wrapText="1"/>
    </xf>
    <xf numFmtId="0" fontId="24" fillId="0" borderId="0" xfId="0" applyFont="1" applyAlignment="1">
      <alignment horizontal="left" vertical="top" wrapText="1" indent="5"/>
    </xf>
    <xf numFmtId="0" fontId="24" fillId="0" borderId="0" xfId="0" applyFont="1" applyAlignment="1">
      <alignment horizontal="left" vertical="top" indent="5"/>
    </xf>
    <xf numFmtId="0" fontId="24" fillId="0" borderId="0" xfId="0" applyFont="1" applyAlignment="1">
      <alignment horizontal="left" vertical="top" indent="7"/>
    </xf>
    <xf numFmtId="0" fontId="24" fillId="0" borderId="0" xfId="0" applyFont="1" applyAlignment="1">
      <alignment horizontal="left" vertical="top" wrapText="1" indent="7"/>
    </xf>
    <xf numFmtId="0" fontId="24" fillId="0" borderId="0" xfId="0" applyFont="1" applyAlignment="1">
      <alignment horizontal="left" vertical="top" wrapText="1" indent="10"/>
    </xf>
    <xf numFmtId="0" fontId="0" fillId="0" borderId="0" xfId="0" applyAlignment="1">
      <alignment horizontal="left" vertical="top" wrapText="1" indent="10"/>
    </xf>
    <xf numFmtId="0" fontId="0" fillId="0" borderId="0" xfId="0" applyAlignment="1">
      <alignment horizontal="left" vertical="top" wrapText="1" indent="7"/>
    </xf>
    <xf numFmtId="0" fontId="0" fillId="0" borderId="0" xfId="0" applyAlignment="1">
      <alignment horizontal="left" vertical="top" wrapText="1" indent="8"/>
    </xf>
    <xf numFmtId="0" fontId="0" fillId="0" borderId="30" xfId="0" applyBorder="1" applyAlignment="1">
      <alignment horizontal="left" vertical="top" wrapText="1"/>
    </xf>
    <xf numFmtId="0" fontId="24" fillId="0" borderId="0" xfId="0" applyFont="1" applyAlignment="1">
      <alignment horizontal="left" vertical="top" wrapText="1" indent="12"/>
    </xf>
    <xf numFmtId="0" fontId="24" fillId="0" borderId="0" xfId="0" applyFont="1" applyAlignment="1">
      <alignment horizontal="left" vertical="top" wrapText="1" indent="14"/>
    </xf>
    <xf numFmtId="0" fontId="24" fillId="0" borderId="0" xfId="0" applyFont="1" applyAlignment="1">
      <alignment horizontal="left" vertical="top" wrapText="1" indent="20"/>
    </xf>
    <xf numFmtId="0" fontId="24" fillId="0" borderId="0" xfId="0" applyFont="1" applyAlignment="1">
      <alignment horizontal="left" vertical="top" wrapText="1" indent="24"/>
    </xf>
    <xf numFmtId="0" fontId="4" fillId="0" borderId="0" xfId="0" applyFont="1" applyAlignment="1">
      <alignment vertical="top" wrapText="1"/>
    </xf>
    <xf numFmtId="0" fontId="3" fillId="6" borderId="17" xfId="0" applyFont="1" applyFill="1" applyBorder="1" applyAlignment="1">
      <alignment horizontal="center"/>
    </xf>
    <xf numFmtId="0" fontId="3" fillId="6" borderId="28" xfId="0" applyFont="1" applyFill="1" applyBorder="1" applyAlignment="1">
      <alignment horizontal="center"/>
    </xf>
    <xf numFmtId="0" fontId="0" fillId="3" borderId="16" xfId="0" applyFill="1" applyBorder="1" applyAlignment="1" applyProtection="1">
      <alignment horizontal="left" vertical="top" wrapText="1"/>
      <protection locked="0"/>
    </xf>
    <xf numFmtId="0" fontId="0" fillId="3" borderId="18" xfId="0" applyFill="1" applyBorder="1" applyAlignment="1" applyProtection="1">
      <alignment horizontal="left" vertical="top" wrapText="1"/>
      <protection locked="0"/>
    </xf>
    <xf numFmtId="43" fontId="0" fillId="2" borderId="16" xfId="1" applyFont="1" applyFill="1" applyBorder="1" applyAlignment="1" applyProtection="1">
      <alignment horizontal="center"/>
      <protection locked="0"/>
    </xf>
    <xf numFmtId="0" fontId="3" fillId="5" borderId="17" xfId="0" applyFont="1" applyFill="1" applyBorder="1" applyAlignment="1">
      <alignment horizontal="center" wrapText="1"/>
    </xf>
    <xf numFmtId="43" fontId="0" fillId="2" borderId="17" xfId="1" applyFont="1" applyFill="1" applyBorder="1" applyAlignment="1" applyProtection="1">
      <alignment horizontal="center"/>
      <protection locked="0"/>
    </xf>
    <xf numFmtId="0" fontId="3" fillId="6" borderId="2" xfId="0" applyFont="1" applyFill="1" applyBorder="1" applyAlignment="1">
      <alignment horizontal="center"/>
    </xf>
    <xf numFmtId="0" fontId="3" fillId="0" borderId="0" xfId="0" applyFont="1" applyAlignment="1">
      <alignment horizontal="right" vertical="top" wrapText="1"/>
    </xf>
    <xf numFmtId="0" fontId="0" fillId="2" borderId="24" xfId="0" applyFill="1" applyBorder="1" applyAlignment="1" applyProtection="1">
      <alignment horizontal="left" vertical="top" wrapText="1"/>
      <protection locked="0"/>
    </xf>
    <xf numFmtId="0" fontId="0" fillId="2" borderId="4" xfId="0" applyFill="1" applyBorder="1" applyAlignment="1" applyProtection="1">
      <alignment horizontal="left" vertical="top" wrapText="1"/>
      <protection locked="0"/>
    </xf>
    <xf numFmtId="0" fontId="0" fillId="2" borderId="25" xfId="0" applyFill="1" applyBorder="1" applyAlignment="1" applyProtection="1">
      <alignment horizontal="left" vertical="top" wrapText="1"/>
      <protection locked="0"/>
    </xf>
    <xf numFmtId="0" fontId="0" fillId="2" borderId="26" xfId="0" applyFill="1" applyBorder="1" applyAlignment="1" applyProtection="1">
      <alignment horizontal="left" vertical="top" wrapText="1"/>
      <protection locked="0"/>
    </xf>
    <xf numFmtId="0" fontId="0" fillId="2" borderId="0" xfId="0" applyFill="1" applyAlignment="1" applyProtection="1">
      <alignment horizontal="left" vertical="top" wrapText="1"/>
      <protection locked="0"/>
    </xf>
    <xf numFmtId="0" fontId="0" fillId="2" borderId="27" xfId="0" applyFill="1" applyBorder="1" applyAlignment="1" applyProtection="1">
      <alignment horizontal="left" vertical="top" wrapText="1"/>
      <protection locked="0"/>
    </xf>
    <xf numFmtId="0" fontId="0" fillId="2" borderId="28" xfId="0" applyFill="1" applyBorder="1" applyAlignment="1" applyProtection="1">
      <alignment horizontal="left" vertical="top" wrapText="1"/>
      <protection locked="0"/>
    </xf>
    <xf numFmtId="0" fontId="0" fillId="2" borderId="2" xfId="0" applyFill="1" applyBorder="1" applyAlignment="1" applyProtection="1">
      <alignment horizontal="left" vertical="top" wrapText="1"/>
      <protection locked="0"/>
    </xf>
    <xf numFmtId="0" fontId="0" fillId="2" borderId="29" xfId="0" applyFill="1" applyBorder="1" applyAlignment="1" applyProtection="1">
      <alignment horizontal="left" vertical="top" wrapText="1"/>
      <protection locked="0"/>
    </xf>
    <xf numFmtId="0" fontId="3" fillId="5" borderId="2" xfId="0" applyFont="1" applyFill="1" applyBorder="1" applyAlignment="1">
      <alignment horizontal="center"/>
    </xf>
    <xf numFmtId="0" fontId="2" fillId="4" borderId="0" xfId="0" applyFont="1" applyFill="1" applyAlignment="1">
      <alignment horizontal="center"/>
    </xf>
    <xf numFmtId="0" fontId="0" fillId="2" borderId="18" xfId="0" applyFill="1" applyBorder="1" applyAlignment="1" applyProtection="1">
      <alignment horizontal="center" vertical="top" wrapText="1"/>
      <protection locked="0"/>
    </xf>
    <xf numFmtId="0" fontId="0" fillId="2" borderId="19" xfId="0" applyFill="1" applyBorder="1" applyAlignment="1" applyProtection="1">
      <alignment horizontal="center" vertical="top" wrapText="1"/>
      <protection locked="0"/>
    </xf>
    <xf numFmtId="0" fontId="0" fillId="2" borderId="20" xfId="0" applyFill="1" applyBorder="1" applyAlignment="1" applyProtection="1">
      <alignment horizontal="center" vertical="top" wrapText="1"/>
      <protection locked="0"/>
    </xf>
    <xf numFmtId="0" fontId="3" fillId="0" borderId="0" xfId="0" applyFont="1" applyAlignment="1">
      <alignment horizontal="right" vertical="top"/>
    </xf>
    <xf numFmtId="0" fontId="4" fillId="2" borderId="24" xfId="0" applyFont="1" applyFill="1" applyBorder="1" applyAlignment="1" applyProtection="1">
      <alignment horizontal="left" vertical="top" wrapText="1"/>
      <protection locked="0"/>
    </xf>
    <xf numFmtId="0" fontId="4" fillId="2" borderId="4" xfId="0" applyFont="1" applyFill="1" applyBorder="1" applyAlignment="1" applyProtection="1">
      <alignment horizontal="left" vertical="top" wrapText="1"/>
      <protection locked="0"/>
    </xf>
    <xf numFmtId="0" fontId="4" fillId="2" borderId="25" xfId="0" applyFont="1" applyFill="1" applyBorder="1" applyAlignment="1" applyProtection="1">
      <alignment horizontal="left" vertical="top" wrapText="1"/>
      <protection locked="0"/>
    </xf>
    <xf numFmtId="0" fontId="4" fillId="2" borderId="26" xfId="0" applyFont="1" applyFill="1" applyBorder="1" applyAlignment="1" applyProtection="1">
      <alignment horizontal="left" vertical="top" wrapText="1"/>
      <protection locked="0"/>
    </xf>
    <xf numFmtId="0" fontId="4" fillId="2" borderId="0" xfId="0" applyFont="1" applyFill="1" applyAlignment="1" applyProtection="1">
      <alignment horizontal="left" vertical="top" wrapText="1"/>
      <protection locked="0"/>
    </xf>
    <xf numFmtId="0" fontId="4" fillId="2" borderId="27" xfId="0" applyFont="1" applyFill="1" applyBorder="1" applyAlignment="1" applyProtection="1">
      <alignment horizontal="left" vertical="top" wrapText="1"/>
      <protection locked="0"/>
    </xf>
    <xf numFmtId="0" fontId="4" fillId="2" borderId="28" xfId="0" applyFont="1" applyFill="1" applyBorder="1" applyAlignment="1" applyProtection="1">
      <alignment horizontal="left" vertical="top" wrapText="1"/>
      <protection locked="0"/>
    </xf>
    <xf numFmtId="0" fontId="4" fillId="2" borderId="2" xfId="0" applyFont="1" applyFill="1" applyBorder="1" applyAlignment="1" applyProtection="1">
      <alignment horizontal="left" vertical="top" wrapText="1"/>
      <protection locked="0"/>
    </xf>
    <xf numFmtId="0" fontId="4" fillId="2" borderId="29" xfId="0" applyFont="1" applyFill="1" applyBorder="1" applyAlignment="1" applyProtection="1">
      <alignment horizontal="left" vertical="top" wrapText="1"/>
      <protection locked="0"/>
    </xf>
    <xf numFmtId="0" fontId="0" fillId="0" borderId="0" xfId="0" applyAlignment="1">
      <alignment horizontal="left" wrapText="1"/>
    </xf>
    <xf numFmtId="0" fontId="0" fillId="2" borderId="0" xfId="0" applyFill="1" applyAlignment="1" applyProtection="1">
      <alignment horizontal="center"/>
      <protection locked="0"/>
    </xf>
    <xf numFmtId="0" fontId="0" fillId="2" borderId="2" xfId="0" applyFill="1" applyBorder="1" applyAlignment="1" applyProtection="1">
      <alignment horizontal="center"/>
      <protection locked="0"/>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0" fontId="2" fillId="4" borderId="7" xfId="0" applyFont="1" applyFill="1" applyBorder="1" applyAlignment="1">
      <alignment horizontal="center" vertical="center"/>
    </xf>
    <xf numFmtId="0" fontId="6" fillId="0" borderId="0" xfId="0" applyFont="1" applyAlignment="1">
      <alignment horizontal="center" vertical="center" wrapText="1"/>
    </xf>
    <xf numFmtId="0" fontId="6" fillId="7" borderId="0" xfId="0" applyFont="1" applyFill="1" applyAlignment="1">
      <alignment horizontal="center" vertical="center" wrapText="1"/>
    </xf>
    <xf numFmtId="14" fontId="0" fillId="2" borderId="0" xfId="0" applyNumberFormat="1" applyFill="1" applyAlignment="1" applyProtection="1">
      <alignment horizontal="center"/>
      <protection locked="0"/>
    </xf>
    <xf numFmtId="14" fontId="0" fillId="2" borderId="2" xfId="0" applyNumberFormat="1" applyFill="1" applyBorder="1" applyAlignment="1" applyProtection="1">
      <alignment horizontal="center"/>
      <protection locked="0"/>
    </xf>
    <xf numFmtId="0" fontId="0" fillId="2" borderId="0" xfId="0" applyFill="1" applyAlignment="1" applyProtection="1">
      <alignment horizontal="left" vertical="center" wrapText="1" indent="1"/>
      <protection locked="0"/>
    </xf>
    <xf numFmtId="0" fontId="0" fillId="2" borderId="2" xfId="0" applyFill="1" applyBorder="1" applyAlignment="1" applyProtection="1">
      <alignment horizontal="left" vertical="center" wrapText="1" indent="1"/>
      <protection locked="0"/>
    </xf>
    <xf numFmtId="164" fontId="0" fillId="2" borderId="0" xfId="0" applyNumberFormat="1" applyFill="1" applyAlignment="1" applyProtection="1">
      <alignment horizontal="center"/>
      <protection locked="0"/>
    </xf>
    <xf numFmtId="164" fontId="0" fillId="2" borderId="2" xfId="0" applyNumberFormat="1" applyFill="1" applyBorder="1" applyAlignment="1" applyProtection="1">
      <alignment horizontal="center"/>
      <protection locked="0"/>
    </xf>
    <xf numFmtId="0" fontId="7" fillId="2" borderId="0" xfId="2" applyFill="1" applyBorder="1" applyAlignment="1" applyProtection="1">
      <alignment horizontal="center"/>
      <protection locked="0"/>
    </xf>
    <xf numFmtId="0" fontId="7" fillId="2" borderId="2" xfId="2" applyFill="1" applyBorder="1" applyAlignment="1" applyProtection="1">
      <alignment horizontal="center"/>
      <protection locked="0"/>
    </xf>
    <xf numFmtId="0" fontId="0" fillId="2" borderId="0" xfId="0" applyFill="1" applyAlignment="1" applyProtection="1">
      <alignment horizontal="center" vertical="center"/>
      <protection locked="0"/>
    </xf>
    <xf numFmtId="0" fontId="0" fillId="2" borderId="2" xfId="0" applyFill="1" applyBorder="1" applyAlignment="1" applyProtection="1">
      <alignment horizontal="center" vertical="center"/>
      <protection locked="0"/>
    </xf>
    <xf numFmtId="0" fontId="3" fillId="5" borderId="0" xfId="0" applyFont="1" applyFill="1" applyAlignment="1">
      <alignment horizontal="center"/>
    </xf>
    <xf numFmtId="0" fontId="3" fillId="6" borderId="0" xfId="0" applyFont="1" applyFill="1" applyAlignment="1">
      <alignment horizontal="center"/>
    </xf>
    <xf numFmtId="0" fontId="3" fillId="5" borderId="17" xfId="0" applyFont="1" applyFill="1" applyBorder="1" applyAlignment="1">
      <alignment horizontal="left" wrapText="1"/>
    </xf>
    <xf numFmtId="0" fontId="3" fillId="6" borderId="16" xfId="0" applyFont="1" applyFill="1" applyBorder="1" applyAlignment="1">
      <alignment horizontal="center"/>
    </xf>
    <xf numFmtId="0" fontId="3" fillId="6" borderId="18" xfId="0" applyFont="1" applyFill="1" applyBorder="1" applyAlignment="1">
      <alignment horizontal="center"/>
    </xf>
    <xf numFmtId="0" fontId="0" fillId="0" borderId="19" xfId="0"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2" fillId="4" borderId="10" xfId="0" applyFont="1" applyFill="1" applyBorder="1" applyAlignment="1">
      <alignment horizontal="center" vertical="center"/>
    </xf>
    <xf numFmtId="0" fontId="4" fillId="2" borderId="24" xfId="0" applyFont="1" applyFill="1" applyBorder="1" applyAlignment="1" applyProtection="1">
      <alignment horizontal="center"/>
      <protection locked="0"/>
    </xf>
    <xf numFmtId="0" fontId="4" fillId="2" borderId="4" xfId="0" applyFont="1" applyFill="1" applyBorder="1" applyAlignment="1" applyProtection="1">
      <alignment horizontal="center"/>
      <protection locked="0"/>
    </xf>
    <xf numFmtId="0" fontId="4" fillId="2" borderId="25" xfId="0" applyFont="1" applyFill="1" applyBorder="1" applyAlignment="1" applyProtection="1">
      <alignment horizontal="center"/>
      <protection locked="0"/>
    </xf>
    <xf numFmtId="0" fontId="4" fillId="2" borderId="26" xfId="0" applyFont="1" applyFill="1" applyBorder="1" applyAlignment="1" applyProtection="1">
      <alignment horizontal="center"/>
      <protection locked="0"/>
    </xf>
    <xf numFmtId="0" fontId="4" fillId="2" borderId="0" xfId="0" applyFont="1" applyFill="1" applyAlignment="1" applyProtection="1">
      <alignment horizontal="center"/>
      <protection locked="0"/>
    </xf>
    <xf numFmtId="0" fontId="4" fillId="2" borderId="27" xfId="0" applyFont="1" applyFill="1" applyBorder="1" applyAlignment="1" applyProtection="1">
      <alignment horizontal="center"/>
      <protection locked="0"/>
    </xf>
    <xf numFmtId="0" fontId="4" fillId="2" borderId="28" xfId="0" applyFont="1" applyFill="1" applyBorder="1" applyAlignment="1" applyProtection="1">
      <alignment horizontal="center"/>
      <protection locked="0"/>
    </xf>
    <xf numFmtId="0" fontId="4" fillId="2" borderId="2" xfId="0" applyFont="1" applyFill="1" applyBorder="1" applyAlignment="1" applyProtection="1">
      <alignment horizontal="center"/>
      <protection locked="0"/>
    </xf>
    <xf numFmtId="0" fontId="4" fillId="2" borderId="29" xfId="0" applyFont="1" applyFill="1" applyBorder="1" applyAlignment="1" applyProtection="1">
      <alignment horizontal="center"/>
      <protection locked="0"/>
    </xf>
    <xf numFmtId="43" fontId="7" fillId="0" borderId="16" xfId="2" applyNumberFormat="1" applyFill="1" applyBorder="1" applyAlignment="1" applyProtection="1">
      <alignment horizontal="left" vertical="center"/>
      <protection locked="0"/>
    </xf>
    <xf numFmtId="0" fontId="0" fillId="0" borderId="16" xfId="0" applyBorder="1" applyAlignment="1">
      <alignment horizontal="left" vertical="top" wrapText="1"/>
    </xf>
    <xf numFmtId="0" fontId="0" fillId="0" borderId="18" xfId="0" applyBorder="1" applyAlignment="1">
      <alignment horizontal="left" vertical="top" wrapText="1"/>
    </xf>
    <xf numFmtId="43" fontId="7" fillId="0" borderId="17" xfId="2" applyNumberFormat="1" applyFill="1" applyBorder="1" applyAlignment="1" applyProtection="1">
      <alignment horizontal="left" vertical="center"/>
      <protection locked="0"/>
    </xf>
    <xf numFmtId="0" fontId="0" fillId="0" borderId="17" xfId="0" applyBorder="1" applyAlignment="1">
      <alignment horizontal="left" vertical="top" wrapText="1"/>
    </xf>
    <xf numFmtId="0" fontId="0" fillId="0" borderId="28" xfId="0" applyBorder="1" applyAlignment="1">
      <alignment horizontal="left" vertical="top" wrapText="1"/>
    </xf>
    <xf numFmtId="43" fontId="0" fillId="2" borderId="16" xfId="1" applyFont="1" applyFill="1" applyBorder="1" applyAlignment="1" applyProtection="1">
      <protection locked="0"/>
    </xf>
    <xf numFmtId="43" fontId="0" fillId="2" borderId="17" xfId="1" applyFont="1" applyFill="1" applyBorder="1" applyAlignment="1" applyProtection="1">
      <protection locked="0"/>
    </xf>
    <xf numFmtId="0" fontId="0" fillId="3" borderId="17" xfId="0" applyFill="1" applyBorder="1" applyAlignment="1" applyProtection="1">
      <alignment horizontal="left" vertical="top" wrapText="1"/>
      <protection locked="0"/>
    </xf>
    <xf numFmtId="0" fontId="0" fillId="3" borderId="28" xfId="0" applyFill="1" applyBorder="1" applyAlignment="1" applyProtection="1">
      <alignment horizontal="left" vertical="top" wrapText="1"/>
      <protection locked="0"/>
    </xf>
    <xf numFmtId="43" fontId="0" fillId="2" borderId="17" xfId="1" applyFont="1" applyFill="1" applyBorder="1" applyAlignment="1" applyProtection="1">
      <alignment wrapText="1"/>
      <protection locked="0"/>
    </xf>
    <xf numFmtId="43" fontId="0" fillId="0" borderId="0" xfId="1" applyFont="1" applyFill="1" applyBorder="1" applyAlignment="1" applyProtection="1"/>
    <xf numFmtId="0" fontId="4" fillId="3" borderId="24" xfId="0" applyFont="1" applyFill="1" applyBorder="1" applyAlignment="1" applyProtection="1">
      <alignment horizontal="center" wrapText="1"/>
      <protection locked="0"/>
    </xf>
    <xf numFmtId="0" fontId="4" fillId="3" borderId="4" xfId="0" applyFont="1" applyFill="1" applyBorder="1" applyAlignment="1" applyProtection="1">
      <alignment horizontal="center" wrapText="1"/>
      <protection locked="0"/>
    </xf>
    <xf numFmtId="0" fontId="4" fillId="3" borderId="25" xfId="0" applyFont="1" applyFill="1" applyBorder="1" applyAlignment="1" applyProtection="1">
      <alignment horizontal="center" wrapText="1"/>
      <protection locked="0"/>
    </xf>
    <xf numFmtId="0" fontId="4" fillId="3" borderId="26" xfId="0" applyFont="1" applyFill="1" applyBorder="1" applyAlignment="1" applyProtection="1">
      <alignment horizontal="center" wrapText="1"/>
      <protection locked="0"/>
    </xf>
    <xf numFmtId="0" fontId="4" fillId="3" borderId="0" xfId="0" applyFont="1" applyFill="1" applyAlignment="1" applyProtection="1">
      <alignment horizontal="center" wrapText="1"/>
      <protection locked="0"/>
    </xf>
    <xf numFmtId="0" fontId="4" fillId="3" borderId="27" xfId="0" applyFont="1" applyFill="1" applyBorder="1" applyAlignment="1" applyProtection="1">
      <alignment horizontal="center" wrapText="1"/>
      <protection locked="0"/>
    </xf>
    <xf numFmtId="0" fontId="4" fillId="3" borderId="28" xfId="0" applyFont="1" applyFill="1" applyBorder="1" applyAlignment="1" applyProtection="1">
      <alignment horizontal="center" wrapText="1"/>
      <protection locked="0"/>
    </xf>
    <xf numFmtId="0" fontId="4" fillId="3" borderId="2" xfId="0" applyFont="1" applyFill="1" applyBorder="1" applyAlignment="1" applyProtection="1">
      <alignment horizontal="center" wrapText="1"/>
      <protection locked="0"/>
    </xf>
    <xf numFmtId="0" fontId="4" fillId="3" borderId="29" xfId="0" applyFont="1" applyFill="1" applyBorder="1" applyAlignment="1" applyProtection="1">
      <alignment horizontal="center" wrapText="1"/>
      <protection locked="0"/>
    </xf>
    <xf numFmtId="0" fontId="7" fillId="0" borderId="0" xfId="2" applyFill="1" applyAlignment="1" applyProtection="1">
      <alignment horizontal="left"/>
    </xf>
    <xf numFmtId="0" fontId="13" fillId="0" borderId="0" xfId="0" applyFont="1" applyAlignment="1">
      <alignment horizontal="center"/>
    </xf>
    <xf numFmtId="0" fontId="19" fillId="0" borderId="0" xfId="0" applyFont="1" applyAlignment="1">
      <alignment horizontal="center" vertical="center" wrapText="1"/>
    </xf>
    <xf numFmtId="0" fontId="7" fillId="0" borderId="0" xfId="2" applyFill="1" applyAlignment="1">
      <alignment horizontal="center" vertical="top" wrapText="1"/>
    </xf>
    <xf numFmtId="0" fontId="20" fillId="0" borderId="0" xfId="2" applyFont="1" applyFill="1" applyAlignment="1">
      <alignment horizontal="center" vertical="top" wrapText="1"/>
    </xf>
    <xf numFmtId="0" fontId="4" fillId="0" borderId="0" xfId="0" applyFont="1" applyAlignment="1">
      <alignment horizontal="center" vertical="top" wrapText="1"/>
    </xf>
    <xf numFmtId="0" fontId="17" fillId="0" borderId="8" xfId="0" applyFont="1" applyBorder="1" applyAlignment="1">
      <alignment horizontal="center" vertic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13" xfId="0" applyFont="1" applyBorder="1" applyAlignment="1">
      <alignment horizontal="center" vertical="center"/>
    </xf>
    <xf numFmtId="0" fontId="9" fillId="0" borderId="14" xfId="0" applyFont="1" applyBorder="1" applyAlignment="1">
      <alignment horizontal="center" vertical="center"/>
    </xf>
    <xf numFmtId="0" fontId="9" fillId="0" borderId="15" xfId="0" applyFont="1" applyBorder="1" applyAlignment="1">
      <alignment horizontal="center" vertical="center"/>
    </xf>
    <xf numFmtId="165" fontId="0" fillId="0" borderId="25" xfId="0" applyNumberFormat="1" applyBorder="1" applyAlignment="1">
      <alignment horizontal="center" vertical="center"/>
    </xf>
    <xf numFmtId="165" fontId="0" fillId="0" borderId="29" xfId="0" applyNumberFormat="1" applyBorder="1" applyAlignment="1">
      <alignment horizontal="center" vertical="center"/>
    </xf>
    <xf numFmtId="165" fontId="4" fillId="0" borderId="16" xfId="0" applyNumberFormat="1" applyFont="1" applyBorder="1" applyAlignment="1">
      <alignment horizontal="center" vertical="center" wrapText="1"/>
    </xf>
    <xf numFmtId="165" fontId="16" fillId="0" borderId="16" xfId="0" applyNumberFormat="1" applyFont="1" applyBorder="1" applyAlignment="1">
      <alignment horizontal="center" vertical="center" wrapText="1"/>
    </xf>
    <xf numFmtId="0" fontId="23" fillId="0" borderId="8" xfId="0" applyFont="1" applyBorder="1" applyAlignment="1">
      <alignment horizontal="center" vertical="center" wrapText="1"/>
    </xf>
    <xf numFmtId="0" fontId="23" fillId="0" borderId="10"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0" fontId="23" fillId="0" borderId="11" xfId="0" applyFont="1" applyBorder="1" applyAlignment="1">
      <alignment horizontal="center" vertical="center" wrapText="1"/>
    </xf>
    <xf numFmtId="0" fontId="23" fillId="0" borderId="13" xfId="0" applyFont="1" applyBorder="1" applyAlignment="1">
      <alignment horizontal="center" vertical="center" wrapText="1"/>
    </xf>
    <xf numFmtId="0" fontId="7" fillId="0" borderId="0" xfId="2"/>
    <xf numFmtId="0" fontId="27" fillId="2" borderId="0" xfId="0" applyFont="1" applyFill="1" applyAlignment="1" applyProtection="1">
      <alignment horizontal="left" vertical="center" wrapText="1" indent="1"/>
      <protection locked="0"/>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xdr:col>
      <xdr:colOff>28575</xdr:colOff>
      <xdr:row>0</xdr:row>
      <xdr:rowOff>76201</xdr:rowOff>
    </xdr:from>
    <xdr:ext cx="1754943" cy="571500"/>
    <xdr:pic>
      <xdr:nvPicPr>
        <xdr:cNvPr id="2" name="Picture 1">
          <a:extLst>
            <a:ext uri="{FF2B5EF4-FFF2-40B4-BE49-F238E27FC236}">
              <a16:creationId xmlns:a16="http://schemas.microsoft.com/office/drawing/2014/main" id="{32AC1698-ED53-4E8A-B6F3-CF0583DF9FCE}"/>
            </a:ext>
          </a:extLst>
        </xdr:cNvPr>
        <xdr:cNvPicPr>
          <a:picLocks noChangeAspect="1"/>
        </xdr:cNvPicPr>
      </xdr:nvPicPr>
      <xdr:blipFill>
        <a:blip xmlns:r="http://schemas.openxmlformats.org/officeDocument/2006/relationships" r:embed="rId1"/>
        <a:srcRect/>
        <a:stretch/>
      </xdr:blipFill>
      <xdr:spPr>
        <a:xfrm>
          <a:off x="28575" y="76201"/>
          <a:ext cx="1754943" cy="5715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123825</xdr:rowOff>
    </xdr:from>
    <xdr:to>
      <xdr:col>13</xdr:col>
      <xdr:colOff>315305</xdr:colOff>
      <xdr:row>48</xdr:row>
      <xdr:rowOff>39364</xdr:rowOff>
    </xdr:to>
    <xdr:pic>
      <xdr:nvPicPr>
        <xdr:cNvPr id="3" name="Picture 2">
          <a:extLst>
            <a:ext uri="{FF2B5EF4-FFF2-40B4-BE49-F238E27FC236}">
              <a16:creationId xmlns:a16="http://schemas.microsoft.com/office/drawing/2014/main" id="{223F39B1-DB23-10F3-C301-B365E0125B27}"/>
            </a:ext>
          </a:extLst>
        </xdr:cNvPr>
        <xdr:cNvPicPr>
          <a:picLocks noChangeAspect="1"/>
        </xdr:cNvPicPr>
      </xdr:nvPicPr>
      <xdr:blipFill>
        <a:blip xmlns:r="http://schemas.openxmlformats.org/officeDocument/2006/relationships" r:embed="rId1"/>
        <a:stretch>
          <a:fillRect/>
        </a:stretch>
      </xdr:blipFill>
      <xdr:spPr>
        <a:xfrm>
          <a:off x="1219200" y="123825"/>
          <a:ext cx="7020905" cy="90595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12</xdr:col>
      <xdr:colOff>258147</xdr:colOff>
      <xdr:row>48</xdr:row>
      <xdr:rowOff>67934</xdr:rowOff>
    </xdr:to>
    <xdr:pic>
      <xdr:nvPicPr>
        <xdr:cNvPr id="2" name="Picture 1">
          <a:extLst>
            <a:ext uri="{FF2B5EF4-FFF2-40B4-BE49-F238E27FC236}">
              <a16:creationId xmlns:a16="http://schemas.microsoft.com/office/drawing/2014/main" id="{6416EE41-FE15-0EB7-ECCB-2B99BC9724BA}"/>
            </a:ext>
          </a:extLst>
        </xdr:cNvPr>
        <xdr:cNvPicPr>
          <a:picLocks noChangeAspect="1"/>
        </xdr:cNvPicPr>
      </xdr:nvPicPr>
      <xdr:blipFill>
        <a:blip xmlns:r="http://schemas.openxmlformats.org/officeDocument/2006/relationships" r:embed="rId1"/>
        <a:stretch>
          <a:fillRect/>
        </a:stretch>
      </xdr:blipFill>
      <xdr:spPr>
        <a:xfrm>
          <a:off x="609600" y="190500"/>
          <a:ext cx="6963747" cy="9021434"/>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sunm.unm.edu/government/vicepresidentoffice/sponsoring-senators.htm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ewegg.com/beelink-ser-5-barebone-systems-mini-pc-amd-ryzen-5-5500u/p/2SW-0012-00209?item=9SIBSMJM023079&amp;source=region&amp;utm_source=google&amp;utm_medium=paid+shopping&amp;utm_campaign=knc-googlemkp-pc-_-pla-beelink+direct-_-barebone+systems+-+mini-pc-_-9SIBSMJM023079&amp;negg_topt=0&amp;id0=Google&amp;id1=19141281834&amp;id2=141459484262&amp;id3=&amp;id4=&amp;id5=pla-2521908262204&amp;id6=&amp;id7=1022546&amp;id8=&amp;id9=g&amp;id10=c&amp;id11=&amp;id12=Cj0KCQjw-frTBhCvARIsADv4XY6OmPw9RDiGFdVr3DsZdzfJXskW1o4CxskTQNWb244p54V_MntkcoMaAhrMEALw_wcB&amp;id13=&amp;id14=Y&amp;id15=&amp;id16=639428055260&amp;id17=&amp;id18=&amp;id19=&amp;id20=&amp;id21=pla&amp;id22=5293609592&amp;id23=online&amp;id24=9SIBSMJM023079&amp;id25=US&amp;id26=2521908262204&amp;id27=Y&amp;id28=&amp;id29=&amp;id30=2996184171574002713&amp;id31=en&amp;id32=&amp;id33=&amp;id34=&amp;gclsrc=aw.ds&amp;gad_source=1&amp;gad_campaignid=19141281834&amp;gbraid=0AAAAAD-YhmNKjvhjLNiFnpQlwUkKSVnER&amp;gclid=Cj0KCQjw-frTBhCvARIsADv4XY6OmPw9RDiGFdVr3DsZdzfJXskW1o4CxskTQNWb244p54V_MntkcoMaAhrMEALw_wcB"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asunm.unm.edu/government/governing-documents.html" TargetMode="External"/><Relationship Id="rId1" Type="http://schemas.openxmlformats.org/officeDocument/2006/relationships/hyperlink" Target="http://asunm.unm.edu/documents/2021-2022/documents/standingrules/s22financespringstandingrules.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F77BB-08EA-4687-96E1-1CE623183451}">
  <sheetPr>
    <tabColor rgb="FFC00000"/>
  </sheetPr>
  <dimension ref="B1:U220"/>
  <sheetViews>
    <sheetView showGridLines="0" tabSelected="1" topLeftCell="A77" zoomScaleNormal="100" workbookViewId="0">
      <selection activeCell="D84" sqref="D84:E84"/>
    </sheetView>
  </sheetViews>
  <sheetFormatPr defaultRowHeight="15"/>
  <cols>
    <col min="1" max="1" width="3.42578125" customWidth="1"/>
    <col min="3" max="3" width="19.85546875" customWidth="1"/>
    <col min="4" max="4" width="27.7109375" customWidth="1"/>
    <col min="5" max="5" width="18" customWidth="1"/>
    <col min="6" max="6" width="17" customWidth="1"/>
    <col min="7" max="7" width="2.140625" customWidth="1"/>
    <col min="8" max="8" width="10.28515625" bestFit="1" customWidth="1"/>
    <col min="9" max="9" width="10" bestFit="1" customWidth="1"/>
    <col min="10" max="10" width="2.140625" customWidth="1"/>
    <col min="11" max="11" width="18" bestFit="1" customWidth="1"/>
    <col min="12" max="12" width="20.5703125" bestFit="1" customWidth="1"/>
    <col min="13" max="13" width="11.28515625" customWidth="1"/>
  </cols>
  <sheetData>
    <row r="1" spans="2:15" ht="15" customHeight="1">
      <c r="D1" s="184" t="s">
        <v>0</v>
      </c>
      <c r="E1" s="184"/>
      <c r="F1" s="184"/>
      <c r="G1" s="184"/>
      <c r="H1" s="184"/>
      <c r="I1" s="184"/>
      <c r="J1" s="12"/>
      <c r="K1" s="12"/>
      <c r="L1" s="185" t="s">
        <v>1</v>
      </c>
      <c r="M1" s="185"/>
      <c r="N1" s="185"/>
      <c r="O1" s="185"/>
    </row>
    <row r="2" spans="2:15" ht="15" customHeight="1">
      <c r="D2" s="184"/>
      <c r="E2" s="184"/>
      <c r="F2" s="184"/>
      <c r="G2" s="184"/>
      <c r="H2" s="184"/>
      <c r="I2" s="184"/>
      <c r="J2" s="12"/>
      <c r="K2" s="12"/>
      <c r="L2" s="185"/>
      <c r="M2" s="185"/>
      <c r="N2" s="185"/>
      <c r="O2" s="185"/>
    </row>
    <row r="3" spans="2:15" ht="15" customHeight="1">
      <c r="D3" s="184"/>
      <c r="E3" s="184"/>
      <c r="F3" s="184"/>
      <c r="G3" s="184"/>
      <c r="H3" s="184"/>
      <c r="I3" s="184"/>
      <c r="J3" s="12"/>
      <c r="K3" s="12"/>
      <c r="L3" s="185"/>
      <c r="M3" s="185"/>
      <c r="N3" s="185"/>
      <c r="O3" s="185"/>
    </row>
    <row r="4" spans="2:15" ht="15" customHeight="1">
      <c r="D4" s="184"/>
      <c r="E4" s="184"/>
      <c r="F4" s="184"/>
      <c r="G4" s="184"/>
      <c r="H4" s="184"/>
      <c r="I4" s="184"/>
      <c r="J4" s="12"/>
      <c r="K4" s="12"/>
      <c r="L4" s="185"/>
      <c r="M4" s="185"/>
      <c r="N4" s="185"/>
      <c r="O4" s="185"/>
    </row>
    <row r="6" spans="2:15">
      <c r="B6" s="164" t="s">
        <v>2</v>
      </c>
      <c r="C6" s="164"/>
      <c r="D6" s="164"/>
      <c r="E6" s="164"/>
      <c r="F6" s="164"/>
      <c r="G6" s="164"/>
      <c r="H6" s="164"/>
      <c r="I6" s="164"/>
      <c r="J6" s="164"/>
      <c r="K6" s="164"/>
      <c r="L6" s="164"/>
      <c r="M6" s="164"/>
      <c r="N6" s="164"/>
      <c r="O6" s="164"/>
    </row>
    <row r="8" spans="2:15">
      <c r="B8" s="179" t="s">
        <v>3</v>
      </c>
      <c r="C8" s="179"/>
      <c r="D8" s="179"/>
      <c r="F8" s="179">
        <v>967</v>
      </c>
      <c r="G8" s="179"/>
      <c r="H8" s="179"/>
      <c r="I8" s="179"/>
      <c r="L8" s="186">
        <v>46247</v>
      </c>
      <c r="M8" s="186"/>
      <c r="N8" s="186"/>
      <c r="O8" s="186"/>
    </row>
    <row r="9" spans="2:15">
      <c r="B9" s="180"/>
      <c r="C9" s="180"/>
      <c r="D9" s="180"/>
      <c r="F9" s="180"/>
      <c r="G9" s="180"/>
      <c r="H9" s="180"/>
      <c r="I9" s="180"/>
      <c r="L9" s="187"/>
      <c r="M9" s="187"/>
      <c r="N9" s="187"/>
      <c r="O9" s="187"/>
    </row>
    <row r="10" spans="2:15">
      <c r="B10" t="s">
        <v>4</v>
      </c>
      <c r="F10" t="s">
        <v>5</v>
      </c>
      <c r="L10" t="s">
        <v>6</v>
      </c>
    </row>
    <row r="12" spans="2:15">
      <c r="B12" s="258" t="s">
        <v>7</v>
      </c>
      <c r="C12" s="188"/>
      <c r="D12" s="188"/>
      <c r="E12" s="188"/>
      <c r="F12" s="188"/>
      <c r="G12" s="188"/>
      <c r="H12" s="188"/>
      <c r="I12" s="188"/>
      <c r="L12" s="179"/>
      <c r="M12" s="179"/>
      <c r="N12" s="179"/>
      <c r="O12" s="179"/>
    </row>
    <row r="13" spans="2:15">
      <c r="B13" s="189"/>
      <c r="C13" s="189"/>
      <c r="D13" s="189"/>
      <c r="E13" s="189"/>
      <c r="F13" s="189"/>
      <c r="G13" s="189"/>
      <c r="H13" s="189"/>
      <c r="I13" s="189"/>
      <c r="L13" s="180"/>
      <c r="M13" s="180"/>
      <c r="N13" s="180"/>
      <c r="O13" s="180"/>
    </row>
    <row r="14" spans="2:15">
      <c r="B14" t="s">
        <v>8</v>
      </c>
      <c r="L14" s="13" t="s">
        <v>9</v>
      </c>
    </row>
    <row r="16" spans="2:15">
      <c r="B16" s="179" t="s">
        <v>10</v>
      </c>
      <c r="C16" s="179"/>
      <c r="D16" s="179"/>
      <c r="E16" s="179"/>
      <c r="G16" s="190">
        <v>5057306179</v>
      </c>
      <c r="H16" s="190"/>
      <c r="I16" s="190"/>
      <c r="L16" s="192" t="s">
        <v>11</v>
      </c>
      <c r="M16" s="192"/>
      <c r="N16" s="192"/>
      <c r="O16" s="192"/>
    </row>
    <row r="17" spans="2:15">
      <c r="B17" s="180"/>
      <c r="C17" s="180"/>
      <c r="D17" s="180"/>
      <c r="E17" s="180"/>
      <c r="G17" s="191"/>
      <c r="H17" s="191"/>
      <c r="I17" s="191"/>
      <c r="L17" s="193"/>
      <c r="M17" s="193"/>
      <c r="N17" s="193"/>
      <c r="O17" s="193"/>
    </row>
    <row r="18" spans="2:15">
      <c r="B18" t="s">
        <v>12</v>
      </c>
      <c r="E18" s="14"/>
      <c r="G18" s="14" t="s">
        <v>13</v>
      </c>
      <c r="H18" s="14"/>
      <c r="I18" s="14"/>
      <c r="L18" s="14" t="s">
        <v>14</v>
      </c>
      <c r="M18" s="14"/>
      <c r="N18" s="14"/>
      <c r="O18" s="14"/>
    </row>
    <row r="20" spans="2:15">
      <c r="B20" s="179" t="s">
        <v>15</v>
      </c>
      <c r="C20" s="179"/>
      <c r="D20" s="179"/>
      <c r="E20" s="179"/>
      <c r="G20" s="190">
        <v>4695656368</v>
      </c>
      <c r="H20" s="190"/>
      <c r="I20" s="190"/>
      <c r="L20" s="192" t="s">
        <v>16</v>
      </c>
      <c r="M20" s="192"/>
      <c r="N20" s="192"/>
      <c r="O20" s="192"/>
    </row>
    <row r="21" spans="2:15">
      <c r="B21" s="180"/>
      <c r="C21" s="180"/>
      <c r="D21" s="180"/>
      <c r="E21" s="180"/>
      <c r="G21" s="191"/>
      <c r="H21" s="191"/>
      <c r="I21" s="191"/>
      <c r="L21" s="193"/>
      <c r="M21" s="193"/>
      <c r="N21" s="193"/>
      <c r="O21" s="193"/>
    </row>
    <row r="22" spans="2:15">
      <c r="B22" s="14" t="s">
        <v>17</v>
      </c>
      <c r="C22" s="14"/>
      <c r="D22" s="14"/>
      <c r="E22" s="14"/>
      <c r="G22" s="14" t="s">
        <v>13</v>
      </c>
      <c r="H22" s="14"/>
      <c r="I22" s="14"/>
      <c r="L22" s="14" t="s">
        <v>14</v>
      </c>
      <c r="M22" s="14"/>
      <c r="N22" s="14"/>
    </row>
    <row r="24" spans="2:15">
      <c r="B24" s="194" t="s">
        <v>18</v>
      </c>
      <c r="C24" s="194"/>
      <c r="D24" s="194"/>
      <c r="E24" s="194"/>
      <c r="F24" s="194"/>
      <c r="G24" s="194"/>
      <c r="H24" s="194"/>
      <c r="I24" s="194"/>
      <c r="J24" s="194"/>
      <c r="K24" s="194"/>
      <c r="L24" s="194"/>
      <c r="M24" s="194"/>
      <c r="N24" s="194"/>
      <c r="O24" s="194"/>
    </row>
    <row r="25" spans="2:15">
      <c r="B25" s="195"/>
      <c r="C25" s="195"/>
      <c r="D25" s="195"/>
      <c r="E25" s="195"/>
      <c r="F25" s="195"/>
      <c r="G25" s="195"/>
      <c r="H25" s="195"/>
      <c r="I25" s="195"/>
      <c r="J25" s="195"/>
      <c r="K25" s="195"/>
      <c r="L25" s="195"/>
      <c r="M25" s="195"/>
      <c r="N25" s="195"/>
      <c r="O25" s="195"/>
    </row>
    <row r="26" spans="2:15">
      <c r="B26" t="s">
        <v>19</v>
      </c>
    </row>
    <row r="27" spans="2:15" ht="15.75" thickBot="1"/>
    <row r="28" spans="2:15" ht="15.75" thickBot="1">
      <c r="C28" s="181" t="s">
        <v>20</v>
      </c>
      <c r="D28" s="182"/>
      <c r="E28" s="182"/>
      <c r="F28" s="182"/>
      <c r="G28" s="182"/>
      <c r="H28" s="182"/>
      <c r="I28" s="182"/>
      <c r="J28" s="182"/>
      <c r="K28" s="182"/>
      <c r="L28" s="182"/>
      <c r="M28" s="182"/>
      <c r="N28" s="183"/>
      <c r="O28" s="15"/>
    </row>
    <row r="29" spans="2:15">
      <c r="B29" t="s">
        <v>21</v>
      </c>
      <c r="C29" s="16"/>
      <c r="D29" s="17" t="s">
        <v>22</v>
      </c>
      <c r="E29" s="2">
        <v>15</v>
      </c>
      <c r="H29" s="18" t="s">
        <v>23</v>
      </c>
      <c r="I29" s="1">
        <v>3</v>
      </c>
      <c r="L29" s="19" t="s">
        <v>24</v>
      </c>
      <c r="M29" s="1">
        <v>2</v>
      </c>
      <c r="N29" s="20"/>
    </row>
    <row r="30" spans="2:15" ht="15.75" thickBot="1">
      <c r="C30" s="21"/>
      <c r="D30" s="22"/>
      <c r="E30" s="22"/>
      <c r="F30" s="22"/>
      <c r="G30" s="22"/>
      <c r="H30" s="22"/>
      <c r="I30" s="22"/>
      <c r="J30" s="22"/>
      <c r="K30" s="22"/>
      <c r="L30" s="22"/>
      <c r="M30" s="22"/>
      <c r="N30" s="23"/>
    </row>
    <row r="31" spans="2:15" ht="15.75" thickBot="1"/>
    <row r="32" spans="2:15">
      <c r="C32" s="202" t="s">
        <v>25</v>
      </c>
      <c r="D32" s="203"/>
      <c r="E32" s="203"/>
      <c r="F32" s="203"/>
      <c r="G32" s="203"/>
      <c r="H32" s="203"/>
      <c r="I32" s="203"/>
      <c r="J32" s="203"/>
      <c r="K32" s="203"/>
      <c r="L32" s="203"/>
      <c r="M32" s="203"/>
      <c r="N32" s="204"/>
    </row>
    <row r="33" spans="2:15">
      <c r="C33" s="24"/>
      <c r="D33" s="25"/>
      <c r="E33" s="26"/>
      <c r="F33" s="26"/>
      <c r="G33" s="26"/>
      <c r="H33" s="27" t="s">
        <v>26</v>
      </c>
      <c r="I33" s="27" t="s">
        <v>27</v>
      </c>
      <c r="J33" s="26"/>
      <c r="K33" s="26"/>
      <c r="L33" s="26"/>
      <c r="M33" s="26"/>
      <c r="N33" s="28"/>
    </row>
    <row r="34" spans="2:15">
      <c r="C34" s="29" t="s">
        <v>28</v>
      </c>
      <c r="G34" s="30"/>
      <c r="H34" s="3" t="b">
        <v>1</v>
      </c>
      <c r="I34" s="3" t="b">
        <v>0</v>
      </c>
      <c r="J34" s="30"/>
      <c r="K34" s="31" t="str" cm="1">
        <f t="array" ref="K34">_xlfn.IFS(H34=TRUE, "Please continue completing this request", I34=TRUE, "Please contact SAC to complete your charter before submitting this request", AND(H34=FALSE,I34=FALSE), "Please select Yes or No")</f>
        <v>Please continue completing this request</v>
      </c>
      <c r="L34" s="32"/>
      <c r="M34" s="33"/>
      <c r="N34" s="34"/>
    </row>
    <row r="35" spans="2:15" ht="15.75" thickBot="1">
      <c r="C35" s="21" t="s">
        <v>29</v>
      </c>
      <c r="D35" s="22"/>
      <c r="E35" s="22"/>
      <c r="F35" s="22"/>
      <c r="G35" s="22"/>
      <c r="H35" s="4" t="b">
        <v>1</v>
      </c>
      <c r="I35" s="4" t="b">
        <v>0</v>
      </c>
      <c r="J35" s="22"/>
      <c r="K35" s="35" t="str" cm="1">
        <f t="array" ref="K35">_xlfn.IFS(H35=TRUE, "Please complete the 'Previous Funding' section", I35=TRUE, "You have not received funding. Please skip the 'Previous Funding' section", AND(H35=FALSE,I35=FALSE), "Please select Yes or No")</f>
        <v>Please complete the 'Previous Funding' section</v>
      </c>
      <c r="L35" s="22"/>
      <c r="M35" s="22"/>
      <c r="N35" s="23"/>
    </row>
    <row r="37" spans="2:15">
      <c r="B37" s="164" t="s">
        <v>30</v>
      </c>
      <c r="C37" s="164"/>
      <c r="D37" s="164"/>
      <c r="E37" s="164"/>
      <c r="F37" s="164"/>
      <c r="G37" s="164"/>
      <c r="H37" s="164"/>
      <c r="I37" s="164"/>
      <c r="J37" s="164"/>
      <c r="K37" s="164"/>
      <c r="L37" s="164"/>
      <c r="M37" s="164"/>
      <c r="N37" s="164"/>
      <c r="O37" s="164"/>
    </row>
    <row r="38" spans="2:15">
      <c r="B38" s="178" t="s">
        <v>31</v>
      </c>
      <c r="C38" s="178"/>
      <c r="D38" s="178"/>
      <c r="E38" s="178"/>
      <c r="F38" s="178"/>
      <c r="G38" s="178"/>
      <c r="H38" s="178"/>
      <c r="I38" s="178"/>
      <c r="J38" s="178"/>
      <c r="K38" s="178"/>
      <c r="L38" s="178"/>
      <c r="M38" s="178"/>
      <c r="N38" s="178"/>
      <c r="O38" s="178"/>
    </row>
    <row r="39" spans="2:15">
      <c r="B39" s="178"/>
      <c r="C39" s="178"/>
      <c r="D39" s="178"/>
      <c r="E39" s="178"/>
      <c r="F39" s="178"/>
      <c r="G39" s="178"/>
      <c r="H39" s="178"/>
      <c r="I39" s="178"/>
      <c r="J39" s="178"/>
      <c r="K39" s="178"/>
      <c r="L39" s="178"/>
      <c r="M39" s="178"/>
      <c r="N39" s="178"/>
      <c r="O39" s="178"/>
    </row>
    <row r="40" spans="2:15">
      <c r="B40" s="169" t="s">
        <v>32</v>
      </c>
      <c r="C40" s="170"/>
      <c r="D40" s="170"/>
      <c r="E40" s="170"/>
      <c r="F40" s="170"/>
      <c r="G40" s="170"/>
      <c r="H40" s="170"/>
      <c r="I40" s="170"/>
      <c r="J40" s="170"/>
      <c r="K40" s="170"/>
      <c r="L40" s="170"/>
      <c r="M40" s="170"/>
      <c r="N40" s="170"/>
      <c r="O40" s="171"/>
    </row>
    <row r="41" spans="2:15">
      <c r="B41" s="172"/>
      <c r="C41" s="173"/>
      <c r="D41" s="173"/>
      <c r="E41" s="173"/>
      <c r="F41" s="173"/>
      <c r="G41" s="173"/>
      <c r="H41" s="173"/>
      <c r="I41" s="173"/>
      <c r="J41" s="173"/>
      <c r="K41" s="173"/>
      <c r="L41" s="173"/>
      <c r="M41" s="173"/>
      <c r="N41" s="173"/>
      <c r="O41" s="174"/>
    </row>
    <row r="42" spans="2:15">
      <c r="B42" s="172"/>
      <c r="C42" s="173"/>
      <c r="D42" s="173"/>
      <c r="E42" s="173"/>
      <c r="F42" s="173"/>
      <c r="G42" s="173"/>
      <c r="H42" s="173"/>
      <c r="I42" s="173"/>
      <c r="J42" s="173"/>
      <c r="K42" s="173"/>
      <c r="L42" s="173"/>
      <c r="M42" s="173"/>
      <c r="N42" s="173"/>
      <c r="O42" s="174"/>
    </row>
    <row r="43" spans="2:15">
      <c r="B43" s="175"/>
      <c r="C43" s="176"/>
      <c r="D43" s="176"/>
      <c r="E43" s="176"/>
      <c r="F43" s="176"/>
      <c r="G43" s="176"/>
      <c r="H43" s="176"/>
      <c r="I43" s="176"/>
      <c r="J43" s="176"/>
      <c r="K43" s="176"/>
      <c r="L43" s="176"/>
      <c r="M43" s="176"/>
      <c r="N43" s="176"/>
      <c r="O43" s="177"/>
    </row>
    <row r="45" spans="2:15">
      <c r="B45" s="164" t="s">
        <v>33</v>
      </c>
      <c r="C45" s="164"/>
      <c r="D45" s="164"/>
      <c r="E45" s="164"/>
      <c r="F45" s="164"/>
      <c r="G45" s="164"/>
      <c r="H45" s="164"/>
      <c r="I45" s="164"/>
      <c r="J45" s="164"/>
      <c r="K45" s="164"/>
      <c r="L45" s="164"/>
      <c r="M45" s="164"/>
      <c r="N45" s="164"/>
      <c r="O45" s="164"/>
    </row>
    <row r="47" spans="2:15">
      <c r="B47" s="153" t="s">
        <v>34</v>
      </c>
      <c r="C47" s="153"/>
      <c r="D47" s="205" t="s">
        <v>35</v>
      </c>
      <c r="E47" s="206"/>
      <c r="F47" s="206"/>
      <c r="G47" s="206"/>
      <c r="H47" s="206"/>
      <c r="I47" s="206"/>
      <c r="J47" s="206"/>
      <c r="K47" s="206"/>
      <c r="L47" s="206"/>
      <c r="M47" s="206"/>
      <c r="N47" s="206"/>
      <c r="O47" s="207"/>
    </row>
    <row r="48" spans="2:15">
      <c r="B48" s="153"/>
      <c r="C48" s="153"/>
      <c r="D48" s="208"/>
      <c r="E48" s="209"/>
      <c r="F48" s="209"/>
      <c r="G48" s="209"/>
      <c r="H48" s="209"/>
      <c r="I48" s="209"/>
      <c r="J48" s="209"/>
      <c r="K48" s="209"/>
      <c r="L48" s="209"/>
      <c r="M48" s="209"/>
      <c r="N48" s="209"/>
      <c r="O48" s="210"/>
    </row>
    <row r="49" spans="2:21">
      <c r="D49" s="208"/>
      <c r="E49" s="209"/>
      <c r="F49" s="209"/>
      <c r="G49" s="209"/>
      <c r="H49" s="209"/>
      <c r="I49" s="209"/>
      <c r="J49" s="209"/>
      <c r="K49" s="209"/>
      <c r="L49" s="209"/>
      <c r="M49" s="209"/>
      <c r="N49" s="209"/>
      <c r="O49" s="210"/>
    </row>
    <row r="50" spans="2:21">
      <c r="D50" s="208"/>
      <c r="E50" s="209"/>
      <c r="F50" s="209"/>
      <c r="G50" s="209"/>
      <c r="H50" s="209"/>
      <c r="I50" s="209"/>
      <c r="J50" s="209"/>
      <c r="K50" s="209"/>
      <c r="L50" s="209"/>
      <c r="M50" s="209"/>
      <c r="N50" s="209"/>
      <c r="O50" s="210"/>
    </row>
    <row r="51" spans="2:21">
      <c r="D51" s="211"/>
      <c r="E51" s="212"/>
      <c r="F51" s="212"/>
      <c r="G51" s="212"/>
      <c r="H51" s="212"/>
      <c r="I51" s="212"/>
      <c r="J51" s="212"/>
      <c r="K51" s="212"/>
      <c r="L51" s="212"/>
      <c r="M51" s="212"/>
      <c r="N51" s="212"/>
      <c r="O51" s="213"/>
    </row>
    <row r="52" spans="2:21">
      <c r="D52" s="37"/>
      <c r="E52" s="37"/>
      <c r="F52" s="37"/>
      <c r="G52" s="37"/>
      <c r="H52" s="37"/>
      <c r="I52" s="37"/>
      <c r="J52" s="37"/>
      <c r="K52" s="37"/>
      <c r="L52" s="37"/>
      <c r="M52" s="37"/>
      <c r="N52" s="37"/>
      <c r="O52" s="37"/>
    </row>
    <row r="53" spans="2:21">
      <c r="B53" s="38" t="s">
        <v>36</v>
      </c>
    </row>
    <row r="54" spans="2:21" ht="15" customHeight="1">
      <c r="B54" s="39"/>
      <c r="C54" s="39"/>
      <c r="D54" s="39"/>
      <c r="E54" s="39"/>
      <c r="F54" s="39"/>
      <c r="H54" s="196" t="s">
        <v>37</v>
      </c>
      <c r="I54" s="196"/>
      <c r="K54" s="197" t="s">
        <v>38</v>
      </c>
      <c r="L54" s="197"/>
      <c r="M54" s="197"/>
      <c r="N54" s="197"/>
      <c r="O54" s="197"/>
      <c r="Q54" s="18"/>
      <c r="R54" s="18"/>
      <c r="S54" s="18"/>
      <c r="T54" s="18"/>
      <c r="U54" s="18"/>
    </row>
    <row r="55" spans="2:21" ht="30">
      <c r="B55" s="40"/>
      <c r="C55" s="93" t="s">
        <v>39</v>
      </c>
      <c r="D55" s="198" t="s">
        <v>40</v>
      </c>
      <c r="E55" s="198"/>
      <c r="F55" s="41" t="s">
        <v>41</v>
      </c>
      <c r="G55" s="42"/>
      <c r="H55" s="91" t="s">
        <v>42</v>
      </c>
      <c r="I55" s="92" t="s">
        <v>43</v>
      </c>
      <c r="J55" s="42"/>
      <c r="K55" s="89" t="s">
        <v>44</v>
      </c>
      <c r="L55" s="90" t="s">
        <v>45</v>
      </c>
      <c r="M55" s="199" t="s">
        <v>46</v>
      </c>
      <c r="N55" s="199"/>
      <c r="O55" s="200"/>
      <c r="Q55" s="18"/>
      <c r="R55" s="18"/>
      <c r="S55" s="18"/>
      <c r="T55" s="18"/>
    </row>
    <row r="56" spans="2:21" ht="9" customHeight="1">
      <c r="C56" s="42"/>
      <c r="D56" s="42"/>
      <c r="E56" s="42"/>
      <c r="F56" s="42"/>
      <c r="G56" s="42"/>
      <c r="H56" s="42"/>
      <c r="I56" s="42"/>
      <c r="J56" s="42"/>
      <c r="K56" s="42"/>
      <c r="L56" s="42"/>
      <c r="M56" s="43"/>
      <c r="N56" s="43"/>
      <c r="O56" s="43"/>
    </row>
    <row r="57" spans="2:21">
      <c r="B57" s="17" t="s">
        <v>47</v>
      </c>
      <c r="D57" s="42"/>
      <c r="E57" s="42"/>
      <c r="F57" s="42"/>
      <c r="G57" s="42"/>
      <c r="H57" s="42"/>
      <c r="I57" s="42"/>
      <c r="J57" s="42"/>
      <c r="K57" s="42"/>
      <c r="L57" s="42"/>
      <c r="M57" s="43"/>
      <c r="N57" s="43"/>
      <c r="O57" s="43"/>
    </row>
    <row r="58" spans="2:21" ht="29.25" customHeight="1">
      <c r="B58" s="17"/>
      <c r="C58" s="44" t="str">
        <f>IF(ISBLANK(D104), "Travel Request #1", D104)</f>
        <v>Travel Request #1</v>
      </c>
      <c r="D58" s="214" t="s">
        <v>48</v>
      </c>
      <c r="E58" s="214"/>
      <c r="F58" s="45">
        <f>F120</f>
        <v>0</v>
      </c>
      <c r="H58" s="201" t="s">
        <v>49</v>
      </c>
      <c r="I58" s="201"/>
      <c r="K58" s="47">
        <f>K120</f>
        <v>0</v>
      </c>
      <c r="L58" s="48">
        <f t="shared" ref="L58:L59" si="0">K58-F58</f>
        <v>0</v>
      </c>
      <c r="M58" s="215"/>
      <c r="N58" s="215"/>
      <c r="O58" s="216"/>
    </row>
    <row r="59" spans="2:21" ht="29.25" customHeight="1">
      <c r="B59" s="17"/>
      <c r="C59" s="49" t="str">
        <f>IF(ISBLANK(D126), "Travel Request #2", D126)</f>
        <v>Travel Request #2</v>
      </c>
      <c r="D59" s="217" t="s">
        <v>48</v>
      </c>
      <c r="E59" s="217"/>
      <c r="F59" s="50">
        <f>F142</f>
        <v>0</v>
      </c>
      <c r="H59" s="201" t="s">
        <v>49</v>
      </c>
      <c r="I59" s="201"/>
      <c r="K59" s="52">
        <f>K142</f>
        <v>0</v>
      </c>
      <c r="L59" s="53">
        <f t="shared" si="0"/>
        <v>0</v>
      </c>
      <c r="M59" s="218"/>
      <c r="N59" s="218"/>
      <c r="O59" s="219"/>
    </row>
    <row r="60" spans="2:21" ht="9.75" customHeight="1">
      <c r="B60" s="17"/>
      <c r="C60" s="54"/>
      <c r="D60" s="55"/>
      <c r="E60" s="55"/>
      <c r="F60" s="56"/>
      <c r="H60" s="57"/>
      <c r="K60" s="58"/>
      <c r="L60" s="56"/>
      <c r="M60" s="59"/>
      <c r="N60" s="59"/>
      <c r="O60" s="59"/>
    </row>
    <row r="61" spans="2:21">
      <c r="B61" s="17" t="s">
        <v>50</v>
      </c>
      <c r="C61" s="54"/>
      <c r="D61" s="60"/>
      <c r="E61" s="60"/>
      <c r="F61" s="56"/>
      <c r="H61" s="57"/>
      <c r="K61" s="58"/>
      <c r="L61" s="56"/>
      <c r="M61" s="59"/>
      <c r="N61" s="59"/>
      <c r="O61" s="59"/>
    </row>
    <row r="62" spans="2:21" ht="29.25" customHeight="1">
      <c r="B62" s="17"/>
      <c r="C62" s="44" t="str">
        <f>IF(ISBLANK(D149), "Event Request #1", D149)</f>
        <v>Event Request #1</v>
      </c>
      <c r="D62" s="214" t="s">
        <v>51</v>
      </c>
      <c r="E62" s="214"/>
      <c r="F62" s="45">
        <f>F169</f>
        <v>0</v>
      </c>
      <c r="H62" s="201" t="s">
        <v>49</v>
      </c>
      <c r="I62" s="201"/>
      <c r="K62" s="47">
        <f>K169</f>
        <v>0</v>
      </c>
      <c r="L62" s="48">
        <f t="shared" ref="L62:L64" si="1">K62-F62</f>
        <v>0</v>
      </c>
      <c r="M62" s="215"/>
      <c r="N62" s="215"/>
      <c r="O62" s="216"/>
    </row>
    <row r="63" spans="2:21" ht="29.25" customHeight="1">
      <c r="B63" s="17"/>
      <c r="C63" s="44" t="str">
        <f>IF(ISBLANK(D174), "Event Request #2", D174)</f>
        <v>Event Request #2</v>
      </c>
      <c r="D63" s="217" t="s">
        <v>51</v>
      </c>
      <c r="E63" s="217"/>
      <c r="F63" s="50">
        <f>F194</f>
        <v>0</v>
      </c>
      <c r="G63" s="61"/>
      <c r="H63" s="201" t="s">
        <v>49</v>
      </c>
      <c r="I63" s="201"/>
      <c r="J63" s="61"/>
      <c r="K63" s="52">
        <f>K194</f>
        <v>0</v>
      </c>
      <c r="L63" s="53">
        <f t="shared" si="1"/>
        <v>0</v>
      </c>
      <c r="M63" s="218"/>
      <c r="N63" s="218"/>
      <c r="O63" s="219"/>
    </row>
    <row r="64" spans="2:21" ht="29.25" customHeight="1">
      <c r="B64" s="17"/>
      <c r="C64" s="44" t="str">
        <f>IF(ISBLANK(D199), "Event Request #3", D199)</f>
        <v>Event Request #3</v>
      </c>
      <c r="D64" s="217" t="s">
        <v>51</v>
      </c>
      <c r="E64" s="217"/>
      <c r="F64" s="50">
        <f>F219</f>
        <v>0</v>
      </c>
      <c r="H64" s="201" t="s">
        <v>49</v>
      </c>
      <c r="I64" s="201"/>
      <c r="K64" s="52">
        <f>K219</f>
        <v>0</v>
      </c>
      <c r="L64" s="53">
        <f t="shared" si="1"/>
        <v>0</v>
      </c>
      <c r="M64" s="218"/>
      <c r="N64" s="218"/>
      <c r="O64" s="219"/>
    </row>
    <row r="65" spans="2:15" ht="9" customHeight="1">
      <c r="B65" s="17"/>
      <c r="D65" s="62"/>
      <c r="E65" s="62"/>
      <c r="F65" s="56"/>
      <c r="H65" s="57"/>
      <c r="K65" s="58"/>
      <c r="L65" s="56"/>
      <c r="M65" s="59"/>
      <c r="N65" s="59"/>
      <c r="O65" s="59"/>
    </row>
    <row r="66" spans="2:15">
      <c r="B66" s="17" t="s">
        <v>52</v>
      </c>
      <c r="D66" s="62"/>
      <c r="E66" s="62"/>
      <c r="F66" s="56"/>
      <c r="H66" s="57"/>
      <c r="K66" s="58"/>
      <c r="L66" s="56"/>
      <c r="M66" s="59"/>
      <c r="N66" s="59"/>
      <c r="O66" s="59"/>
    </row>
    <row r="67" spans="2:15" ht="30" customHeight="1">
      <c r="B67" s="18"/>
      <c r="C67" s="63" t="s">
        <v>53</v>
      </c>
      <c r="D67" s="220" t="s">
        <v>54</v>
      </c>
      <c r="E67" s="220"/>
      <c r="F67" s="5">
        <v>300</v>
      </c>
      <c r="H67" s="46" t="str">
        <f t="shared" ref="H67:H92" si="2">IF(F67&gt;200, "Yes", "No")</f>
        <v>Yes</v>
      </c>
      <c r="I67" s="6" t="b">
        <v>1</v>
      </c>
      <c r="K67" s="7"/>
      <c r="L67" s="64">
        <f t="shared" ref="L67:L95" si="3">K67-F67</f>
        <v>-300</v>
      </c>
      <c r="M67" s="147"/>
      <c r="N67" s="147"/>
      <c r="O67" s="148"/>
    </row>
    <row r="68" spans="2:15" ht="30" customHeight="1">
      <c r="B68" s="18"/>
      <c r="C68" s="63" t="s">
        <v>55</v>
      </c>
      <c r="D68" s="220"/>
      <c r="E68" s="220"/>
      <c r="F68" s="5"/>
      <c r="H68" s="46" t="str">
        <f t="shared" si="2"/>
        <v>No</v>
      </c>
      <c r="I68" s="6" t="b">
        <v>0</v>
      </c>
      <c r="K68" s="7"/>
      <c r="L68" s="64">
        <f t="shared" si="3"/>
        <v>0</v>
      </c>
      <c r="M68" s="147"/>
      <c r="N68" s="147"/>
      <c r="O68" s="148"/>
    </row>
    <row r="69" spans="2:15" ht="30" customHeight="1">
      <c r="B69" s="18"/>
      <c r="C69" s="63" t="s">
        <v>56</v>
      </c>
      <c r="D69" s="220"/>
      <c r="E69" s="220"/>
      <c r="F69" s="5"/>
      <c r="H69" s="46" t="str">
        <f t="shared" si="2"/>
        <v>No</v>
      </c>
      <c r="I69" s="6" t="b">
        <v>0</v>
      </c>
      <c r="K69" s="8"/>
      <c r="L69" s="65">
        <f t="shared" si="3"/>
        <v>0</v>
      </c>
      <c r="M69" s="222"/>
      <c r="N69" s="222"/>
      <c r="O69" s="223"/>
    </row>
    <row r="70" spans="2:15" ht="30" customHeight="1">
      <c r="B70" s="18"/>
      <c r="C70" s="66" t="s">
        <v>57</v>
      </c>
      <c r="D70" s="221"/>
      <c r="E70" s="221"/>
      <c r="F70" s="9"/>
      <c r="H70" s="51" t="str">
        <f t="shared" si="2"/>
        <v>No</v>
      </c>
      <c r="I70" s="10" t="b">
        <v>0</v>
      </c>
      <c r="K70" s="8"/>
      <c r="L70" s="65">
        <f t="shared" si="3"/>
        <v>0</v>
      </c>
      <c r="M70" s="222"/>
      <c r="N70" s="222"/>
      <c r="O70" s="223"/>
    </row>
    <row r="71" spans="2:15" ht="30" customHeight="1">
      <c r="B71" s="18"/>
      <c r="C71" s="66" t="s">
        <v>58</v>
      </c>
      <c r="D71" s="221" t="s">
        <v>59</v>
      </c>
      <c r="E71" s="221"/>
      <c r="F71" s="9">
        <v>150</v>
      </c>
      <c r="H71" s="51" t="str">
        <f t="shared" si="2"/>
        <v>No</v>
      </c>
      <c r="I71" s="10" t="b">
        <v>0</v>
      </c>
      <c r="K71" s="8"/>
      <c r="L71" s="65">
        <f t="shared" si="3"/>
        <v>-150</v>
      </c>
      <c r="M71" s="222"/>
      <c r="N71" s="222"/>
      <c r="O71" s="223"/>
    </row>
    <row r="72" spans="2:15" ht="30" customHeight="1">
      <c r="B72" s="18"/>
      <c r="C72" s="66" t="s">
        <v>60</v>
      </c>
      <c r="D72" s="221"/>
      <c r="E72" s="221"/>
      <c r="F72" s="9"/>
      <c r="H72" s="51" t="str">
        <f t="shared" si="2"/>
        <v>No</v>
      </c>
      <c r="I72" s="10" t="b">
        <v>0</v>
      </c>
      <c r="K72" s="8"/>
      <c r="L72" s="65">
        <f t="shared" si="3"/>
        <v>0</v>
      </c>
      <c r="M72" s="222"/>
      <c r="N72" s="222"/>
      <c r="O72" s="223"/>
    </row>
    <row r="73" spans="2:15" ht="30" customHeight="1">
      <c r="B73" s="18"/>
      <c r="C73" s="66" t="s">
        <v>61</v>
      </c>
      <c r="D73" s="224"/>
      <c r="E73" s="224"/>
      <c r="F73" s="9"/>
      <c r="H73" s="51" t="str">
        <f t="shared" si="2"/>
        <v>No</v>
      </c>
      <c r="I73" s="10" t="b">
        <v>0</v>
      </c>
      <c r="K73" s="8"/>
      <c r="L73" s="65">
        <f t="shared" si="3"/>
        <v>0</v>
      </c>
      <c r="M73" s="222"/>
      <c r="N73" s="222"/>
      <c r="O73" s="223"/>
    </row>
    <row r="74" spans="2:15" ht="30" customHeight="1">
      <c r="B74" s="18"/>
      <c r="C74" s="66" t="s">
        <v>62</v>
      </c>
      <c r="D74" s="221"/>
      <c r="E74" s="221"/>
      <c r="F74" s="9"/>
      <c r="H74" s="51" t="str">
        <f t="shared" si="2"/>
        <v>No</v>
      </c>
      <c r="I74" s="10" t="b">
        <v>0</v>
      </c>
      <c r="K74" s="8"/>
      <c r="L74" s="65">
        <f t="shared" si="3"/>
        <v>0</v>
      </c>
      <c r="M74" s="222"/>
      <c r="N74" s="222"/>
      <c r="O74" s="223"/>
    </row>
    <row r="75" spans="2:15" ht="30" customHeight="1">
      <c r="B75" s="18"/>
      <c r="C75" s="66" t="s">
        <v>63</v>
      </c>
      <c r="D75" s="221"/>
      <c r="E75" s="221"/>
      <c r="F75" s="9"/>
      <c r="H75" s="51" t="str">
        <f t="shared" si="2"/>
        <v>No</v>
      </c>
      <c r="I75" s="10" t="b">
        <v>0</v>
      </c>
      <c r="K75" s="8"/>
      <c r="L75" s="65">
        <f t="shared" si="3"/>
        <v>0</v>
      </c>
      <c r="M75" s="222"/>
      <c r="N75" s="222"/>
      <c r="O75" s="223"/>
    </row>
    <row r="76" spans="2:15" ht="8.25" customHeight="1">
      <c r="B76" s="18"/>
      <c r="C76" s="67"/>
      <c r="D76" s="62"/>
      <c r="E76" s="62"/>
      <c r="F76" s="56"/>
      <c r="H76" s="57"/>
      <c r="K76" s="58"/>
      <c r="L76" s="56"/>
      <c r="M76" s="59"/>
      <c r="N76" s="59"/>
      <c r="O76" s="59"/>
    </row>
    <row r="77" spans="2:15">
      <c r="B77" s="17" t="s">
        <v>64</v>
      </c>
      <c r="D77" s="225"/>
      <c r="E77" s="225"/>
      <c r="F77" s="56"/>
      <c r="H77" s="57"/>
      <c r="K77" s="58"/>
      <c r="L77" s="56"/>
      <c r="M77" s="59"/>
      <c r="N77" s="59"/>
      <c r="O77" s="59"/>
    </row>
    <row r="78" spans="2:15" ht="30" customHeight="1">
      <c r="B78" s="18"/>
      <c r="C78" s="63" t="s">
        <v>65</v>
      </c>
      <c r="D78" s="220" t="s">
        <v>66</v>
      </c>
      <c r="E78" s="220"/>
      <c r="F78" s="5">
        <v>479.95</v>
      </c>
      <c r="H78" s="46" t="str">
        <f t="shared" si="2"/>
        <v>Yes</v>
      </c>
      <c r="I78" s="6" t="b">
        <v>1</v>
      </c>
      <c r="K78" s="7"/>
      <c r="L78" s="64">
        <f t="shared" si="3"/>
        <v>-479.95</v>
      </c>
      <c r="M78" s="147"/>
      <c r="N78" s="147"/>
      <c r="O78" s="148"/>
    </row>
    <row r="79" spans="2:15" ht="30" customHeight="1">
      <c r="B79" s="18"/>
      <c r="C79" s="66" t="s">
        <v>67</v>
      </c>
      <c r="D79" s="221"/>
      <c r="E79" s="221"/>
      <c r="F79" s="9"/>
      <c r="H79" s="51" t="str">
        <f t="shared" si="2"/>
        <v>No</v>
      </c>
      <c r="I79" s="10" t="b">
        <v>0</v>
      </c>
      <c r="K79" s="8"/>
      <c r="L79" s="65">
        <f t="shared" si="3"/>
        <v>0</v>
      </c>
      <c r="M79" s="222"/>
      <c r="N79" s="222"/>
      <c r="O79" s="223"/>
    </row>
    <row r="80" spans="2:15" ht="30" customHeight="1">
      <c r="B80" s="18"/>
      <c r="C80" s="63" t="s">
        <v>68</v>
      </c>
      <c r="D80" s="220" t="s">
        <v>69</v>
      </c>
      <c r="E80" s="220"/>
      <c r="F80" s="5">
        <v>1106.6600000000001</v>
      </c>
      <c r="H80" s="46" t="str">
        <f t="shared" si="2"/>
        <v>Yes</v>
      </c>
      <c r="I80" s="6" t="b">
        <v>1</v>
      </c>
      <c r="K80" s="7"/>
      <c r="L80" s="64">
        <f t="shared" si="3"/>
        <v>-1106.6600000000001</v>
      </c>
      <c r="M80" s="147"/>
      <c r="N80" s="147"/>
      <c r="O80" s="148"/>
    </row>
    <row r="81" spans="2:15" ht="9" customHeight="1">
      <c r="B81" s="18"/>
      <c r="C81" s="67"/>
      <c r="D81" s="68"/>
      <c r="E81" s="68"/>
      <c r="F81" s="56"/>
      <c r="H81" s="57"/>
      <c r="K81" s="58"/>
      <c r="L81" s="56"/>
      <c r="M81" s="59"/>
      <c r="N81" s="59"/>
      <c r="O81" s="59"/>
    </row>
    <row r="82" spans="2:15">
      <c r="B82" s="17" t="s">
        <v>70</v>
      </c>
      <c r="D82" s="225"/>
      <c r="E82" s="225"/>
      <c r="F82" s="56"/>
      <c r="H82" s="57"/>
      <c r="K82" s="58"/>
      <c r="L82" s="56"/>
      <c r="M82" s="59"/>
      <c r="N82" s="59"/>
      <c r="O82" s="59"/>
    </row>
    <row r="83" spans="2:15" ht="30" customHeight="1">
      <c r="B83" s="18"/>
      <c r="C83" s="63" t="s">
        <v>71</v>
      </c>
      <c r="D83" s="220" t="s">
        <v>72</v>
      </c>
      <c r="E83" s="220"/>
      <c r="F83" s="5">
        <v>100</v>
      </c>
      <c r="H83" s="46" t="str">
        <f t="shared" si="2"/>
        <v>No</v>
      </c>
      <c r="I83" s="6" t="b">
        <v>0</v>
      </c>
      <c r="K83" s="7"/>
      <c r="L83" s="64">
        <f t="shared" si="3"/>
        <v>-100</v>
      </c>
      <c r="M83" s="147"/>
      <c r="N83" s="147"/>
      <c r="O83" s="148"/>
    </row>
    <row r="84" spans="2:15" ht="30" customHeight="1">
      <c r="B84" s="18"/>
      <c r="C84" s="66" t="s">
        <v>73</v>
      </c>
      <c r="D84" s="221" t="s">
        <v>74</v>
      </c>
      <c r="E84" s="221"/>
      <c r="F84" s="9">
        <v>150</v>
      </c>
      <c r="H84" s="51" t="str">
        <f t="shared" si="2"/>
        <v>No</v>
      </c>
      <c r="I84" s="10" t="b">
        <v>0</v>
      </c>
      <c r="K84" s="8"/>
      <c r="L84" s="65">
        <f t="shared" si="3"/>
        <v>-150</v>
      </c>
      <c r="M84" s="222"/>
      <c r="N84" s="222"/>
      <c r="O84" s="223"/>
    </row>
    <row r="85" spans="2:15" ht="30" customHeight="1">
      <c r="B85" s="18"/>
      <c r="C85" s="66" t="s">
        <v>75</v>
      </c>
      <c r="D85" s="221" t="s">
        <v>76</v>
      </c>
      <c r="E85" s="221"/>
      <c r="F85" s="9">
        <v>130.96</v>
      </c>
      <c r="H85" s="51" t="str">
        <f t="shared" si="2"/>
        <v>No</v>
      </c>
      <c r="I85" s="10" t="b">
        <v>1</v>
      </c>
      <c r="K85" s="8"/>
      <c r="L85" s="65">
        <f t="shared" si="3"/>
        <v>-130.96</v>
      </c>
      <c r="M85" s="222"/>
      <c r="N85" s="222"/>
      <c r="O85" s="223"/>
    </row>
    <row r="86" spans="2:15" ht="30" customHeight="1">
      <c r="B86" s="18"/>
      <c r="C86" s="63" t="s">
        <v>77</v>
      </c>
      <c r="D86" s="220"/>
      <c r="E86" s="220"/>
      <c r="F86" s="5"/>
      <c r="H86" s="46" t="str">
        <f t="shared" si="2"/>
        <v>No</v>
      </c>
      <c r="I86" s="6" t="b">
        <v>0</v>
      </c>
      <c r="K86" s="7"/>
      <c r="L86" s="64">
        <f t="shared" si="3"/>
        <v>0</v>
      </c>
      <c r="M86" s="147"/>
      <c r="N86" s="147"/>
      <c r="O86" s="148"/>
    </row>
    <row r="87" spans="2:15" ht="30" customHeight="1">
      <c r="B87" s="18"/>
      <c r="C87" s="66" t="s">
        <v>78</v>
      </c>
      <c r="D87" s="220" t="s">
        <v>79</v>
      </c>
      <c r="E87" s="220"/>
      <c r="F87" s="5">
        <v>214.98</v>
      </c>
      <c r="H87" s="51" t="str">
        <f t="shared" si="2"/>
        <v>Yes</v>
      </c>
      <c r="I87" s="10" t="b">
        <v>1</v>
      </c>
      <c r="K87" s="8"/>
      <c r="L87" s="65">
        <f t="shared" si="3"/>
        <v>-214.98</v>
      </c>
      <c r="M87" s="222"/>
      <c r="N87" s="222"/>
      <c r="O87" s="223"/>
    </row>
    <row r="88" spans="2:15" ht="9" customHeight="1">
      <c r="B88" s="18"/>
      <c r="C88" s="67"/>
      <c r="D88" s="62"/>
      <c r="E88" s="62"/>
      <c r="F88" s="56"/>
      <c r="H88" s="57"/>
      <c r="K88" s="58"/>
      <c r="L88" s="56"/>
      <c r="M88" s="59"/>
      <c r="N88" s="59"/>
      <c r="O88" s="59"/>
    </row>
    <row r="89" spans="2:15">
      <c r="B89" s="17" t="s">
        <v>80</v>
      </c>
      <c r="D89" s="225"/>
      <c r="E89" s="225"/>
      <c r="F89" s="56"/>
      <c r="H89" s="57"/>
      <c r="K89" s="58"/>
      <c r="L89" s="56"/>
      <c r="M89" s="59"/>
      <c r="N89" s="59"/>
      <c r="O89" s="59"/>
    </row>
    <row r="90" spans="2:15" ht="30" customHeight="1">
      <c r="C90" s="63" t="s">
        <v>24</v>
      </c>
      <c r="D90" s="220"/>
      <c r="E90" s="220"/>
      <c r="F90" s="5"/>
      <c r="H90" s="46" t="str">
        <f t="shared" ref="H90:H91" si="4">IF(F90&gt;200, "Yes", "No")</f>
        <v>No</v>
      </c>
      <c r="I90" s="6" t="b">
        <v>0</v>
      </c>
      <c r="K90" s="7"/>
      <c r="L90" s="64">
        <f t="shared" ref="L90:L91" si="5">K90-F90</f>
        <v>0</v>
      </c>
      <c r="M90" s="147"/>
      <c r="N90" s="147"/>
      <c r="O90" s="148"/>
    </row>
    <row r="91" spans="2:15" ht="30" customHeight="1">
      <c r="C91" s="66" t="s">
        <v>24</v>
      </c>
      <c r="D91" s="221"/>
      <c r="E91" s="221"/>
      <c r="F91" s="9"/>
      <c r="H91" s="51" t="str">
        <f t="shared" si="4"/>
        <v>No</v>
      </c>
      <c r="I91" s="10" t="b">
        <v>0</v>
      </c>
      <c r="K91" s="8"/>
      <c r="L91" s="65">
        <f t="shared" si="5"/>
        <v>0</v>
      </c>
      <c r="M91" s="222"/>
      <c r="N91" s="222"/>
      <c r="O91" s="223"/>
    </row>
    <row r="92" spans="2:15" ht="30" customHeight="1">
      <c r="B92" s="18"/>
      <c r="C92" s="66" t="s">
        <v>24</v>
      </c>
      <c r="D92" s="221"/>
      <c r="E92" s="221"/>
      <c r="F92" s="9"/>
      <c r="H92" s="51" t="str">
        <f t="shared" si="2"/>
        <v>No</v>
      </c>
      <c r="I92" s="10" t="b">
        <v>0</v>
      </c>
      <c r="K92" s="8"/>
      <c r="L92" s="64">
        <f t="shared" si="3"/>
        <v>0</v>
      </c>
      <c r="M92" s="222"/>
      <c r="N92" s="222"/>
      <c r="O92" s="223"/>
    </row>
    <row r="93" spans="2:15">
      <c r="E93" s="69" t="s">
        <v>81</v>
      </c>
      <c r="F93" s="70">
        <f>SUM(F58:F92)</f>
        <v>2632.55</v>
      </c>
      <c r="K93" s="70">
        <f>SUM(K58:K92)</f>
        <v>0</v>
      </c>
      <c r="L93" s="86">
        <f t="shared" si="3"/>
        <v>-2632.55</v>
      </c>
      <c r="M93" s="71"/>
      <c r="N93" s="71"/>
      <c r="O93" s="71"/>
    </row>
    <row r="94" spans="2:15">
      <c r="E94" s="69" t="s">
        <v>82</v>
      </c>
      <c r="F94" s="72">
        <f>ROUNDUP(F93*0.5%,0)</f>
        <v>14</v>
      </c>
      <c r="K94" s="72">
        <f>ROUNDUP(K93*0.5%,0)</f>
        <v>0</v>
      </c>
      <c r="L94" s="61"/>
    </row>
    <row r="95" spans="2:15" ht="15.75" thickBot="1">
      <c r="E95" s="69" t="s">
        <v>83</v>
      </c>
      <c r="F95" s="73">
        <f>F93+F94</f>
        <v>2646.55</v>
      </c>
      <c r="K95" s="73">
        <f>K93+K94</f>
        <v>0</v>
      </c>
      <c r="L95" s="87">
        <f t="shared" si="3"/>
        <v>-2646.55</v>
      </c>
    </row>
    <row r="96" spans="2:15" ht="15.75" thickTop="1"/>
    <row r="97" spans="2:15">
      <c r="J97" s="69" t="s">
        <v>84</v>
      </c>
      <c r="K97" s="226"/>
      <c r="L97" s="227"/>
      <c r="M97" s="227"/>
      <c r="N97" s="227"/>
      <c r="O97" s="228"/>
    </row>
    <row r="98" spans="2:15">
      <c r="K98" s="229"/>
      <c r="L98" s="230"/>
      <c r="M98" s="230"/>
      <c r="N98" s="230"/>
      <c r="O98" s="231"/>
    </row>
    <row r="99" spans="2:15">
      <c r="K99" s="229"/>
      <c r="L99" s="230"/>
      <c r="M99" s="230"/>
      <c r="N99" s="230"/>
      <c r="O99" s="231"/>
    </row>
    <row r="100" spans="2:15">
      <c r="K100" s="232"/>
      <c r="L100" s="233"/>
      <c r="M100" s="233"/>
      <c r="N100" s="233"/>
      <c r="O100" s="234"/>
    </row>
    <row r="102" spans="2:15">
      <c r="B102" s="164" t="s">
        <v>85</v>
      </c>
      <c r="C102" s="164"/>
      <c r="D102" s="164"/>
      <c r="E102" s="164"/>
      <c r="F102" s="164"/>
      <c r="G102" s="164"/>
      <c r="H102" s="164"/>
      <c r="I102" s="164"/>
      <c r="J102" s="164"/>
      <c r="K102" s="164"/>
      <c r="L102" s="164"/>
      <c r="M102" s="164"/>
      <c r="N102" s="164"/>
      <c r="O102" s="164"/>
    </row>
    <row r="103" spans="2:15">
      <c r="D103" s="18"/>
    </row>
    <row r="104" spans="2:15">
      <c r="B104" s="153" t="s">
        <v>86</v>
      </c>
      <c r="C104" s="153"/>
      <c r="D104" s="165"/>
      <c r="E104" s="166"/>
      <c r="F104" s="167"/>
      <c r="G104" s="74"/>
      <c r="H104" s="168" t="s">
        <v>87</v>
      </c>
      <c r="I104" s="168"/>
      <c r="J104" s="168"/>
      <c r="K104" s="11"/>
      <c r="L104" s="75" t="s">
        <v>88</v>
      </c>
      <c r="M104" s="165"/>
      <c r="N104" s="166"/>
      <c r="O104" s="167"/>
    </row>
    <row r="105" spans="2:15">
      <c r="B105" s="76"/>
      <c r="C105" s="76"/>
      <c r="D105" s="71"/>
      <c r="E105" s="71"/>
      <c r="F105" s="59"/>
      <c r="G105" s="59"/>
      <c r="H105" s="59"/>
    </row>
    <row r="106" spans="2:15">
      <c r="B106" s="153" t="s">
        <v>89</v>
      </c>
      <c r="C106" s="153"/>
      <c r="D106" s="154"/>
      <c r="E106" s="155"/>
      <c r="F106" s="155"/>
      <c r="G106" s="155"/>
      <c r="H106" s="155"/>
      <c r="I106" s="155"/>
      <c r="J106" s="155"/>
      <c r="K106" s="155"/>
      <c r="L106" s="155"/>
      <c r="M106" s="155"/>
      <c r="N106" s="155"/>
      <c r="O106" s="156"/>
    </row>
    <row r="107" spans="2:15">
      <c r="B107" s="36"/>
      <c r="D107" s="157"/>
      <c r="E107" s="158"/>
      <c r="F107" s="158"/>
      <c r="G107" s="158"/>
      <c r="H107" s="158"/>
      <c r="I107" s="158"/>
      <c r="J107" s="158"/>
      <c r="K107" s="158"/>
      <c r="L107" s="158"/>
      <c r="M107" s="158"/>
      <c r="N107" s="158"/>
      <c r="O107" s="159"/>
    </row>
    <row r="108" spans="2:15">
      <c r="D108" s="160"/>
      <c r="E108" s="161"/>
      <c r="F108" s="161"/>
      <c r="G108" s="161"/>
      <c r="H108" s="161"/>
      <c r="I108" s="161"/>
      <c r="J108" s="161"/>
      <c r="K108" s="161"/>
      <c r="L108" s="161"/>
      <c r="M108" s="161"/>
      <c r="N108" s="161"/>
      <c r="O108" s="162"/>
    </row>
    <row r="110" spans="2:15">
      <c r="F110" s="57"/>
      <c r="H110" s="163" t="s">
        <v>37</v>
      </c>
      <c r="I110" s="163"/>
      <c r="K110" s="152" t="s">
        <v>38</v>
      </c>
      <c r="L110" s="152"/>
      <c r="M110" s="152"/>
      <c r="N110" s="152"/>
      <c r="O110" s="152"/>
    </row>
    <row r="111" spans="2:15" ht="30">
      <c r="D111" s="40"/>
      <c r="E111" s="88" t="s">
        <v>39</v>
      </c>
      <c r="F111" s="41" t="s">
        <v>41</v>
      </c>
      <c r="G111" s="42"/>
      <c r="H111" s="88" t="s">
        <v>42</v>
      </c>
      <c r="I111" s="41" t="s">
        <v>43</v>
      </c>
      <c r="J111" s="42"/>
      <c r="K111" s="96" t="s">
        <v>44</v>
      </c>
      <c r="L111" s="97" t="s">
        <v>45</v>
      </c>
      <c r="M111" s="145" t="s">
        <v>46</v>
      </c>
      <c r="N111" s="145"/>
      <c r="O111" s="146"/>
    </row>
    <row r="112" spans="2:15">
      <c r="D112" s="77"/>
      <c r="E112" s="95" t="s">
        <v>90</v>
      </c>
      <c r="F112" s="5"/>
      <c r="H112" s="46" t="str">
        <f>IF(F112&gt;200,"Yes","No")</f>
        <v>No</v>
      </c>
      <c r="I112" s="6" t="b">
        <v>0</v>
      </c>
      <c r="K112" s="7"/>
      <c r="L112" s="64">
        <f t="shared" ref="L112:L115" si="6">K112-F112</f>
        <v>0</v>
      </c>
      <c r="M112" s="147"/>
      <c r="N112" s="147"/>
      <c r="O112" s="148"/>
    </row>
    <row r="113" spans="2:16">
      <c r="D113" s="77"/>
      <c r="E113" s="95" t="s">
        <v>91</v>
      </c>
      <c r="F113" s="5"/>
      <c r="H113" s="51" t="str">
        <f t="shared" ref="H113:H119" si="7">IF(F113&gt;200,"Yes","No")</f>
        <v>No</v>
      </c>
      <c r="I113" s="6" t="b">
        <v>0</v>
      </c>
      <c r="K113" s="7"/>
      <c r="L113" s="64">
        <f t="shared" si="6"/>
        <v>0</v>
      </c>
      <c r="M113" s="147"/>
      <c r="N113" s="147"/>
      <c r="O113" s="148"/>
    </row>
    <row r="114" spans="2:16">
      <c r="D114" s="77"/>
      <c r="E114" s="95" t="s">
        <v>92</v>
      </c>
      <c r="F114" s="5"/>
      <c r="H114" s="51" t="str">
        <f t="shared" si="7"/>
        <v>No</v>
      </c>
      <c r="I114" s="6" t="b">
        <v>0</v>
      </c>
      <c r="K114" s="7"/>
      <c r="L114" s="64">
        <f t="shared" si="6"/>
        <v>0</v>
      </c>
      <c r="M114" s="147"/>
      <c r="N114" s="147"/>
      <c r="O114" s="148"/>
    </row>
    <row r="115" spans="2:16">
      <c r="D115" s="77"/>
      <c r="E115" s="95" t="s">
        <v>93</v>
      </c>
      <c r="F115" s="5"/>
      <c r="H115" s="51" t="str">
        <f t="shared" si="7"/>
        <v>No</v>
      </c>
      <c r="I115" s="6" t="b">
        <v>0</v>
      </c>
      <c r="K115" s="7"/>
      <c r="L115" s="64">
        <f t="shared" si="6"/>
        <v>0</v>
      </c>
      <c r="M115" s="147"/>
      <c r="N115" s="147"/>
      <c r="O115" s="148"/>
    </row>
    <row r="116" spans="2:16">
      <c r="D116" s="77"/>
      <c r="E116" s="95" t="s">
        <v>94</v>
      </c>
      <c r="F116" s="5"/>
      <c r="H116" s="51" t="str">
        <f t="shared" si="7"/>
        <v>No</v>
      </c>
      <c r="I116" s="6" t="b">
        <v>0</v>
      </c>
      <c r="K116" s="7"/>
      <c r="L116" s="64">
        <f>K116-F116</f>
        <v>0</v>
      </c>
      <c r="M116" s="147"/>
      <c r="N116" s="147"/>
      <c r="O116" s="148"/>
    </row>
    <row r="117" spans="2:16">
      <c r="D117" s="77"/>
      <c r="E117" s="95" t="s">
        <v>95</v>
      </c>
      <c r="F117" s="5"/>
      <c r="H117" s="51" t="str">
        <f t="shared" si="7"/>
        <v>No</v>
      </c>
      <c r="I117" s="6" t="b">
        <v>0</v>
      </c>
      <c r="K117" s="7"/>
      <c r="L117" s="64">
        <f t="shared" ref="L117:L119" si="8">K117-F117</f>
        <v>0</v>
      </c>
      <c r="M117" s="147"/>
      <c r="N117" s="147"/>
      <c r="O117" s="148"/>
    </row>
    <row r="118" spans="2:16">
      <c r="D118" s="77"/>
      <c r="E118" s="95" t="s">
        <v>96</v>
      </c>
      <c r="F118" s="5"/>
      <c r="H118" s="51" t="str">
        <f t="shared" si="7"/>
        <v>No</v>
      </c>
      <c r="I118" s="6" t="b">
        <v>0</v>
      </c>
      <c r="K118" s="7"/>
      <c r="L118" s="64">
        <f t="shared" si="8"/>
        <v>0</v>
      </c>
      <c r="M118" s="147"/>
      <c r="N118" s="147"/>
      <c r="O118" s="148"/>
    </row>
    <row r="119" spans="2:16">
      <c r="D119" s="77"/>
      <c r="E119" s="95" t="s">
        <v>97</v>
      </c>
      <c r="F119" s="5"/>
      <c r="H119" s="51" t="str">
        <f t="shared" si="7"/>
        <v>No</v>
      </c>
      <c r="I119" s="6" t="b">
        <v>0</v>
      </c>
      <c r="K119" s="7"/>
      <c r="L119" s="64">
        <f t="shared" si="8"/>
        <v>0</v>
      </c>
      <c r="M119" s="147"/>
      <c r="N119" s="147"/>
      <c r="O119" s="148"/>
    </row>
    <row r="120" spans="2:16" ht="15.75" thickBot="1">
      <c r="E120" s="69" t="s">
        <v>98</v>
      </c>
      <c r="F120" s="79">
        <f>SUM(F112:F119)</f>
        <v>0</v>
      </c>
      <c r="K120" s="80">
        <f>SUM(K112:K119)</f>
        <v>0</v>
      </c>
      <c r="L120" s="70"/>
      <c r="M120" s="71"/>
      <c r="N120" s="71"/>
      <c r="O120" s="71"/>
    </row>
    <row r="121" spans="2:16" ht="15.75" thickTop="1"/>
    <row r="122" spans="2:16">
      <c r="E122" s="69" t="s">
        <v>99</v>
      </c>
      <c r="F122" s="72" t="e">
        <f>F120/K104</f>
        <v>#DIV/0!</v>
      </c>
      <c r="J122" s="69"/>
      <c r="K122" s="78" t="e">
        <f>K120/K104</f>
        <v>#DIV/0!</v>
      </c>
      <c r="L122" s="67"/>
      <c r="M122" s="235" t="s">
        <v>100</v>
      </c>
      <c r="N122" s="235"/>
      <c r="O122" s="235"/>
      <c r="P122" s="235"/>
    </row>
    <row r="123" spans="2:16">
      <c r="E123" s="81"/>
      <c r="F123" s="82"/>
      <c r="J123" s="69"/>
      <c r="K123" s="82"/>
      <c r="L123" s="67"/>
      <c r="M123" s="83"/>
    </row>
    <row r="124" spans="2:16">
      <c r="B124" s="164" t="s">
        <v>101</v>
      </c>
      <c r="C124" s="164"/>
      <c r="D124" s="164"/>
      <c r="E124" s="164"/>
      <c r="F124" s="164"/>
      <c r="G124" s="164"/>
      <c r="H124" s="164"/>
      <c r="I124" s="164"/>
      <c r="J124" s="164"/>
      <c r="K124" s="164"/>
      <c r="L124" s="164"/>
      <c r="M124" s="164"/>
      <c r="N124" s="164"/>
      <c r="O124" s="164"/>
    </row>
    <row r="125" spans="2:16">
      <c r="D125" s="18"/>
    </row>
    <row r="126" spans="2:16" ht="15" customHeight="1">
      <c r="B126" s="153" t="s">
        <v>86</v>
      </c>
      <c r="C126" s="153"/>
      <c r="D126" s="165"/>
      <c r="E126" s="166"/>
      <c r="F126" s="167"/>
      <c r="G126" s="74"/>
      <c r="H126" s="168" t="s">
        <v>87</v>
      </c>
      <c r="I126" s="168"/>
      <c r="J126" s="168"/>
      <c r="K126" s="11"/>
      <c r="L126" s="75" t="s">
        <v>88</v>
      </c>
      <c r="M126" s="165"/>
      <c r="N126" s="166"/>
      <c r="O126" s="167"/>
    </row>
    <row r="127" spans="2:16">
      <c r="B127" s="76"/>
      <c r="C127" s="76"/>
      <c r="D127" s="71"/>
      <c r="E127" s="71"/>
      <c r="F127" s="59"/>
      <c r="G127" s="59"/>
      <c r="H127" s="59"/>
    </row>
    <row r="128" spans="2:16">
      <c r="B128" s="153" t="s">
        <v>89</v>
      </c>
      <c r="C128" s="153"/>
      <c r="D128" s="154"/>
      <c r="E128" s="155"/>
      <c r="F128" s="155"/>
      <c r="G128" s="155"/>
      <c r="H128" s="155"/>
      <c r="I128" s="155"/>
      <c r="J128" s="155"/>
      <c r="K128" s="155"/>
      <c r="L128" s="155"/>
      <c r="M128" s="155"/>
      <c r="N128" s="155"/>
      <c r="O128" s="156"/>
    </row>
    <row r="129" spans="2:16">
      <c r="B129" s="36"/>
      <c r="D129" s="157"/>
      <c r="E129" s="158"/>
      <c r="F129" s="158"/>
      <c r="G129" s="158"/>
      <c r="H129" s="158"/>
      <c r="I129" s="158"/>
      <c r="J129" s="158"/>
      <c r="K129" s="158"/>
      <c r="L129" s="158"/>
      <c r="M129" s="158"/>
      <c r="N129" s="158"/>
      <c r="O129" s="159"/>
    </row>
    <row r="130" spans="2:16">
      <c r="D130" s="160"/>
      <c r="E130" s="161"/>
      <c r="F130" s="161"/>
      <c r="G130" s="161"/>
      <c r="H130" s="161"/>
      <c r="I130" s="161"/>
      <c r="J130" s="161"/>
      <c r="K130" s="161"/>
      <c r="L130" s="161"/>
      <c r="M130" s="161"/>
      <c r="N130" s="161"/>
      <c r="O130" s="162"/>
    </row>
    <row r="132" spans="2:16">
      <c r="F132" s="57"/>
      <c r="H132" s="163" t="s">
        <v>37</v>
      </c>
      <c r="I132" s="163"/>
      <c r="K132" s="152" t="s">
        <v>38</v>
      </c>
      <c r="L132" s="152"/>
      <c r="M132" s="152"/>
      <c r="N132" s="152"/>
      <c r="O132" s="152"/>
    </row>
    <row r="133" spans="2:16" ht="30">
      <c r="D133" s="40"/>
      <c r="E133" s="88" t="s">
        <v>39</v>
      </c>
      <c r="F133" s="41" t="s">
        <v>41</v>
      </c>
      <c r="G133" s="42"/>
      <c r="H133" s="88" t="s">
        <v>42</v>
      </c>
      <c r="I133" s="41" t="s">
        <v>43</v>
      </c>
      <c r="J133" s="42"/>
      <c r="K133" s="96" t="s">
        <v>44</v>
      </c>
      <c r="L133" s="97" t="s">
        <v>45</v>
      </c>
      <c r="M133" s="145" t="s">
        <v>46</v>
      </c>
      <c r="N133" s="145"/>
      <c r="O133" s="146"/>
    </row>
    <row r="134" spans="2:16">
      <c r="D134" s="77"/>
      <c r="E134" s="95" t="s">
        <v>90</v>
      </c>
      <c r="F134" s="5"/>
      <c r="H134" s="46" t="str">
        <f t="shared" ref="H134:H141" si="9">IF(F134&gt;200,"Yes","No")</f>
        <v>No</v>
      </c>
      <c r="I134" s="6" t="b">
        <v>0</v>
      </c>
      <c r="K134" s="7"/>
      <c r="L134" s="64">
        <f t="shared" ref="L134:L141" si="10">K134-F134</f>
        <v>0</v>
      </c>
      <c r="M134" s="147"/>
      <c r="N134" s="147"/>
      <c r="O134" s="148"/>
    </row>
    <row r="135" spans="2:16">
      <c r="D135" s="77"/>
      <c r="E135" s="95" t="s">
        <v>91</v>
      </c>
      <c r="F135" s="5"/>
      <c r="H135" s="51" t="str">
        <f t="shared" si="9"/>
        <v>No</v>
      </c>
      <c r="I135" s="6" t="b">
        <v>0</v>
      </c>
      <c r="K135" s="7"/>
      <c r="L135" s="64">
        <f t="shared" si="10"/>
        <v>0</v>
      </c>
      <c r="M135" s="147"/>
      <c r="N135" s="147"/>
      <c r="O135" s="148"/>
    </row>
    <row r="136" spans="2:16">
      <c r="D136" s="77"/>
      <c r="E136" s="95" t="s">
        <v>92</v>
      </c>
      <c r="F136" s="5"/>
      <c r="H136" s="51" t="str">
        <f t="shared" si="9"/>
        <v>No</v>
      </c>
      <c r="I136" s="6" t="b">
        <v>0</v>
      </c>
      <c r="K136" s="7"/>
      <c r="L136" s="64">
        <f t="shared" si="10"/>
        <v>0</v>
      </c>
      <c r="M136" s="147"/>
      <c r="N136" s="147"/>
      <c r="O136" s="148"/>
    </row>
    <row r="137" spans="2:16">
      <c r="D137" s="77"/>
      <c r="E137" s="95" t="s">
        <v>93</v>
      </c>
      <c r="F137" s="5"/>
      <c r="H137" s="51" t="str">
        <f t="shared" si="9"/>
        <v>No</v>
      </c>
      <c r="I137" s="6" t="b">
        <v>0</v>
      </c>
      <c r="K137" s="7"/>
      <c r="L137" s="64">
        <f t="shared" si="10"/>
        <v>0</v>
      </c>
      <c r="M137" s="147"/>
      <c r="N137" s="147"/>
      <c r="O137" s="148"/>
    </row>
    <row r="138" spans="2:16">
      <c r="D138" s="77"/>
      <c r="E138" s="95" t="s">
        <v>94</v>
      </c>
      <c r="F138" s="5"/>
      <c r="H138" s="51" t="str">
        <f t="shared" si="9"/>
        <v>No</v>
      </c>
      <c r="I138" s="6" t="b">
        <v>0</v>
      </c>
      <c r="K138" s="7"/>
      <c r="L138" s="64">
        <f t="shared" si="10"/>
        <v>0</v>
      </c>
      <c r="M138" s="147"/>
      <c r="N138" s="147"/>
      <c r="O138" s="148"/>
    </row>
    <row r="139" spans="2:16">
      <c r="D139" s="77"/>
      <c r="E139" s="95" t="s">
        <v>95</v>
      </c>
      <c r="F139" s="5"/>
      <c r="H139" s="51" t="str">
        <f t="shared" si="9"/>
        <v>No</v>
      </c>
      <c r="I139" s="6" t="b">
        <v>0</v>
      </c>
      <c r="K139" s="7"/>
      <c r="L139" s="64">
        <f t="shared" si="10"/>
        <v>0</v>
      </c>
      <c r="M139" s="147"/>
      <c r="N139" s="147"/>
      <c r="O139" s="148"/>
    </row>
    <row r="140" spans="2:16">
      <c r="D140" s="77"/>
      <c r="E140" s="95" t="s">
        <v>96</v>
      </c>
      <c r="F140" s="5"/>
      <c r="H140" s="51" t="str">
        <f t="shared" si="9"/>
        <v>No</v>
      </c>
      <c r="I140" s="6" t="b">
        <v>0</v>
      </c>
      <c r="K140" s="7"/>
      <c r="L140" s="64">
        <f t="shared" si="10"/>
        <v>0</v>
      </c>
      <c r="M140" s="147"/>
      <c r="N140" s="147"/>
      <c r="O140" s="148"/>
    </row>
    <row r="141" spans="2:16">
      <c r="D141" s="77"/>
      <c r="E141" s="95" t="s">
        <v>102</v>
      </c>
      <c r="F141" s="5"/>
      <c r="H141" s="51" t="str">
        <f t="shared" si="9"/>
        <v>No</v>
      </c>
      <c r="I141" s="6" t="b">
        <v>0</v>
      </c>
      <c r="K141" s="7"/>
      <c r="L141" s="64">
        <f t="shared" si="10"/>
        <v>0</v>
      </c>
      <c r="M141" s="147"/>
      <c r="N141" s="147"/>
      <c r="O141" s="148"/>
    </row>
    <row r="142" spans="2:16" ht="15.75" thickBot="1">
      <c r="E142" s="69" t="s">
        <v>98</v>
      </c>
      <c r="F142" s="79">
        <f>SUM(F134:F141)</f>
        <v>0</v>
      </c>
      <c r="K142" s="80">
        <f>SUM(K134:K141)</f>
        <v>0</v>
      </c>
      <c r="L142" s="70"/>
      <c r="M142" s="71"/>
      <c r="N142" s="71"/>
      <c r="O142" s="71"/>
    </row>
    <row r="143" spans="2:16" ht="15.75" thickTop="1"/>
    <row r="144" spans="2:16">
      <c r="E144" s="69" t="s">
        <v>99</v>
      </c>
      <c r="F144" s="72" t="e">
        <f>F142/K126</f>
        <v>#DIV/0!</v>
      </c>
      <c r="J144" s="69"/>
      <c r="K144" s="78" t="e">
        <f>K142/K126</f>
        <v>#DIV/0!</v>
      </c>
      <c r="L144" s="67"/>
      <c r="M144" s="235" t="s">
        <v>100</v>
      </c>
      <c r="N144" s="235"/>
      <c r="O144" s="235"/>
      <c r="P144" s="235"/>
    </row>
    <row r="145" spans="2:15">
      <c r="E145" s="81"/>
      <c r="F145" s="82"/>
      <c r="J145" s="69"/>
      <c r="K145" s="82"/>
      <c r="L145" s="67"/>
      <c r="M145" s="83"/>
    </row>
    <row r="147" spans="2:15">
      <c r="B147" s="164" t="s">
        <v>103</v>
      </c>
      <c r="C147" s="164"/>
      <c r="D147" s="164"/>
      <c r="E147" s="164"/>
      <c r="F147" s="164"/>
      <c r="G147" s="164"/>
      <c r="H147" s="164"/>
      <c r="I147" s="164"/>
      <c r="J147" s="164"/>
      <c r="K147" s="164"/>
      <c r="L147" s="164"/>
      <c r="M147" s="164"/>
      <c r="N147" s="164"/>
      <c r="O147" s="164"/>
    </row>
    <row r="148" spans="2:15">
      <c r="D148" s="18"/>
    </row>
    <row r="149" spans="2:15" ht="15" customHeight="1">
      <c r="B149" s="153" t="s">
        <v>104</v>
      </c>
      <c r="C149" s="153"/>
      <c r="D149" s="165"/>
      <c r="E149" s="167"/>
      <c r="F149" s="71"/>
      <c r="G149" s="153" t="s">
        <v>105</v>
      </c>
      <c r="H149" s="153"/>
      <c r="I149" s="153"/>
      <c r="J149" s="153"/>
      <c r="K149" s="11"/>
      <c r="L149" s="75" t="s">
        <v>106</v>
      </c>
      <c r="M149" s="165"/>
      <c r="N149" s="166"/>
      <c r="O149" s="167"/>
    </row>
    <row r="150" spans="2:15">
      <c r="B150" s="76"/>
      <c r="C150" s="76"/>
      <c r="D150" s="71"/>
      <c r="E150" s="71"/>
      <c r="F150" s="59"/>
      <c r="G150" s="59"/>
      <c r="H150" s="59"/>
    </row>
    <row r="151" spans="2:15">
      <c r="B151" s="153" t="s">
        <v>107</v>
      </c>
      <c r="C151" s="153"/>
      <c r="D151" s="154"/>
      <c r="E151" s="155"/>
      <c r="F151" s="155"/>
      <c r="G151" s="155"/>
      <c r="H151" s="155"/>
      <c r="I151" s="155"/>
      <c r="J151" s="155"/>
      <c r="K151" s="155"/>
      <c r="L151" s="155"/>
      <c r="M151" s="155"/>
      <c r="N151" s="155"/>
      <c r="O151" s="156"/>
    </row>
    <row r="152" spans="2:15">
      <c r="B152" s="153"/>
      <c r="C152" s="153"/>
      <c r="D152" s="157"/>
      <c r="E152" s="158"/>
      <c r="F152" s="158"/>
      <c r="G152" s="158"/>
      <c r="H152" s="158"/>
      <c r="I152" s="158"/>
      <c r="J152" s="158"/>
      <c r="K152" s="158"/>
      <c r="L152" s="158"/>
      <c r="M152" s="158"/>
      <c r="N152" s="158"/>
      <c r="O152" s="159"/>
    </row>
    <row r="153" spans="2:15">
      <c r="B153" s="36"/>
      <c r="D153" s="157"/>
      <c r="E153" s="158"/>
      <c r="F153" s="158"/>
      <c r="G153" s="158"/>
      <c r="H153" s="158"/>
      <c r="I153" s="158"/>
      <c r="J153" s="158"/>
      <c r="K153" s="158"/>
      <c r="L153" s="158"/>
      <c r="M153" s="158"/>
      <c r="N153" s="158"/>
      <c r="O153" s="159"/>
    </row>
    <row r="154" spans="2:15">
      <c r="D154" s="160"/>
      <c r="E154" s="161"/>
      <c r="F154" s="161"/>
      <c r="G154" s="161"/>
      <c r="H154" s="161"/>
      <c r="I154" s="161"/>
      <c r="J154" s="161"/>
      <c r="K154" s="161"/>
      <c r="L154" s="161"/>
      <c r="M154" s="161"/>
      <c r="N154" s="161"/>
      <c r="O154" s="162"/>
    </row>
    <row r="156" spans="2:15">
      <c r="D156" s="236"/>
      <c r="E156" s="236"/>
      <c r="H156" s="163" t="s">
        <v>37</v>
      </c>
      <c r="I156" s="163"/>
      <c r="K156" s="152" t="s">
        <v>38</v>
      </c>
      <c r="L156" s="152"/>
      <c r="M156" s="152"/>
      <c r="N156" s="152"/>
      <c r="O156" s="152"/>
    </row>
    <row r="157" spans="2:15" ht="30">
      <c r="C157" s="88" t="s">
        <v>39</v>
      </c>
      <c r="D157" s="150" t="s">
        <v>108</v>
      </c>
      <c r="E157" s="150"/>
      <c r="F157" s="41" t="s">
        <v>41</v>
      </c>
      <c r="G157" s="42"/>
      <c r="H157" s="88" t="s">
        <v>42</v>
      </c>
      <c r="I157" s="41" t="s">
        <v>43</v>
      </c>
      <c r="J157" s="42"/>
      <c r="K157" s="96" t="s">
        <v>44</v>
      </c>
      <c r="L157" s="97" t="s">
        <v>45</v>
      </c>
      <c r="M157" s="145" t="s">
        <v>46</v>
      </c>
      <c r="N157" s="145"/>
      <c r="O157" s="146"/>
    </row>
    <row r="158" spans="2:15">
      <c r="C158" s="94" t="s">
        <v>109</v>
      </c>
      <c r="D158" s="151"/>
      <c r="E158" s="151"/>
      <c r="F158" s="9"/>
      <c r="H158" s="46" t="str">
        <f>IF(F158&gt;200,"Yes","No")</f>
        <v>No</v>
      </c>
      <c r="I158" s="6" t="b">
        <v>0</v>
      </c>
      <c r="K158" s="7"/>
      <c r="L158" s="64">
        <f>K158-F158</f>
        <v>0</v>
      </c>
      <c r="M158" s="147"/>
      <c r="N158" s="147"/>
      <c r="O158" s="148"/>
    </row>
    <row r="159" spans="2:15">
      <c r="C159" s="95" t="s">
        <v>110</v>
      </c>
      <c r="D159" s="149"/>
      <c r="E159" s="149"/>
      <c r="F159" s="5"/>
      <c r="H159" s="46" t="str">
        <f t="shared" ref="H159:H168" si="11">IF(F159&gt;200,"Yes","No")</f>
        <v>No</v>
      </c>
      <c r="I159" s="6" t="b">
        <v>0</v>
      </c>
      <c r="K159" s="7"/>
      <c r="L159" s="65">
        <f t="shared" ref="L159:L168" si="12">K159-F159</f>
        <v>0</v>
      </c>
      <c r="M159" s="147"/>
      <c r="N159" s="147"/>
      <c r="O159" s="148"/>
    </row>
    <row r="160" spans="2:15">
      <c r="C160" s="95" t="s">
        <v>111</v>
      </c>
      <c r="D160" s="149"/>
      <c r="E160" s="149"/>
      <c r="F160" s="5"/>
      <c r="H160" s="46" t="str">
        <f t="shared" si="11"/>
        <v>No</v>
      </c>
      <c r="I160" s="6" t="b">
        <v>0</v>
      </c>
      <c r="K160" s="7"/>
      <c r="L160" s="65">
        <f t="shared" si="12"/>
        <v>0</v>
      </c>
      <c r="M160" s="147"/>
      <c r="N160" s="147"/>
      <c r="O160" s="148"/>
    </row>
    <row r="161" spans="2:16">
      <c r="C161" s="95" t="s">
        <v>112</v>
      </c>
      <c r="D161" s="149"/>
      <c r="E161" s="149"/>
      <c r="F161" s="5"/>
      <c r="H161" s="46" t="str">
        <f t="shared" si="11"/>
        <v>No</v>
      </c>
      <c r="I161" s="6" t="b">
        <v>0</v>
      </c>
      <c r="K161" s="7"/>
      <c r="L161" s="65">
        <f t="shared" si="12"/>
        <v>0</v>
      </c>
      <c r="M161" s="147"/>
      <c r="N161" s="147"/>
      <c r="O161" s="148"/>
    </row>
    <row r="162" spans="2:16">
      <c r="C162" s="95" t="s">
        <v>113</v>
      </c>
      <c r="D162" s="149"/>
      <c r="E162" s="149"/>
      <c r="F162" s="5"/>
      <c r="H162" s="46" t="str">
        <f t="shared" si="11"/>
        <v>No</v>
      </c>
      <c r="I162" s="6" t="b">
        <v>0</v>
      </c>
      <c r="K162" s="7"/>
      <c r="L162" s="65">
        <f t="shared" si="12"/>
        <v>0</v>
      </c>
      <c r="M162" s="147"/>
      <c r="N162" s="147"/>
      <c r="O162" s="148"/>
    </row>
    <row r="163" spans="2:16">
      <c r="C163" s="95" t="s">
        <v>102</v>
      </c>
      <c r="D163" s="149"/>
      <c r="E163" s="149"/>
      <c r="F163" s="5"/>
      <c r="H163" s="46" t="str">
        <f t="shared" si="11"/>
        <v>No</v>
      </c>
      <c r="I163" s="6" t="b">
        <v>0</v>
      </c>
      <c r="K163" s="7"/>
      <c r="L163" s="65">
        <f t="shared" si="12"/>
        <v>0</v>
      </c>
      <c r="M163" s="147"/>
      <c r="N163" s="147"/>
      <c r="O163" s="148"/>
    </row>
    <row r="164" spans="2:16">
      <c r="C164" s="95" t="s">
        <v>102</v>
      </c>
      <c r="D164" s="149"/>
      <c r="E164" s="149"/>
      <c r="F164" s="5"/>
      <c r="H164" s="46" t="str">
        <f t="shared" si="11"/>
        <v>No</v>
      </c>
      <c r="I164" s="6" t="b">
        <v>0</v>
      </c>
      <c r="K164" s="7"/>
      <c r="L164" s="65">
        <f t="shared" si="12"/>
        <v>0</v>
      </c>
      <c r="M164" s="147"/>
      <c r="N164" s="147"/>
      <c r="O164" s="148"/>
    </row>
    <row r="165" spans="2:16">
      <c r="C165" s="95" t="s">
        <v>102</v>
      </c>
      <c r="D165" s="149"/>
      <c r="E165" s="149"/>
      <c r="F165" s="5"/>
      <c r="H165" s="46" t="str">
        <f t="shared" si="11"/>
        <v>No</v>
      </c>
      <c r="I165" s="6" t="b">
        <v>0</v>
      </c>
      <c r="K165" s="7"/>
      <c r="L165" s="65">
        <f t="shared" si="12"/>
        <v>0</v>
      </c>
      <c r="M165" s="147"/>
      <c r="N165" s="147"/>
      <c r="O165" s="148"/>
    </row>
    <row r="166" spans="2:16">
      <c r="C166" s="95" t="s">
        <v>102</v>
      </c>
      <c r="D166" s="149"/>
      <c r="E166" s="149"/>
      <c r="F166" s="5"/>
      <c r="H166" s="46" t="str">
        <f t="shared" si="11"/>
        <v>No</v>
      </c>
      <c r="I166" s="6" t="b">
        <v>0</v>
      </c>
      <c r="K166" s="7"/>
      <c r="L166" s="65">
        <f t="shared" si="12"/>
        <v>0</v>
      </c>
      <c r="M166" s="147"/>
      <c r="N166" s="147"/>
      <c r="O166" s="148"/>
    </row>
    <row r="167" spans="2:16">
      <c r="C167" s="95" t="s">
        <v>102</v>
      </c>
      <c r="D167" s="149"/>
      <c r="E167" s="149"/>
      <c r="F167" s="5"/>
      <c r="H167" s="46" t="str">
        <f t="shared" si="11"/>
        <v>No</v>
      </c>
      <c r="I167" s="6" t="b">
        <v>0</v>
      </c>
      <c r="K167" s="7"/>
      <c r="L167" s="65">
        <f t="shared" si="12"/>
        <v>0</v>
      </c>
      <c r="M167" s="147"/>
      <c r="N167" s="147"/>
      <c r="O167" s="148"/>
    </row>
    <row r="168" spans="2:16">
      <c r="C168" s="95" t="s">
        <v>102</v>
      </c>
      <c r="D168" s="149"/>
      <c r="E168" s="149"/>
      <c r="F168" s="5"/>
      <c r="H168" s="46" t="str">
        <f t="shared" si="11"/>
        <v>No</v>
      </c>
      <c r="I168" s="6" t="b">
        <v>0</v>
      </c>
      <c r="K168" s="7"/>
      <c r="L168" s="65">
        <f t="shared" si="12"/>
        <v>0</v>
      </c>
      <c r="M168" s="147"/>
      <c r="N168" s="147"/>
      <c r="O168" s="148"/>
    </row>
    <row r="169" spans="2:16" ht="15.75" thickBot="1">
      <c r="E169" s="69" t="s">
        <v>98</v>
      </c>
      <c r="F169" s="84">
        <f>SUM(F158:F168)</f>
        <v>0</v>
      </c>
      <c r="K169" s="85">
        <f>SUM(K158:K168)</f>
        <v>0</v>
      </c>
      <c r="L169" s="70"/>
      <c r="M169" s="71"/>
      <c r="N169" s="71"/>
      <c r="O169" s="71"/>
    </row>
    <row r="170" spans="2:16" ht="15.75" thickTop="1">
      <c r="M170" s="235" t="s">
        <v>100</v>
      </c>
      <c r="N170" s="235"/>
      <c r="O170" s="235"/>
      <c r="P170" s="235"/>
    </row>
    <row r="172" spans="2:16">
      <c r="B172" s="164" t="s">
        <v>114</v>
      </c>
      <c r="C172" s="164"/>
      <c r="D172" s="164"/>
      <c r="E172" s="164"/>
      <c r="F172" s="164"/>
      <c r="G172" s="164"/>
      <c r="H172" s="164"/>
      <c r="I172" s="164"/>
      <c r="J172" s="164"/>
      <c r="K172" s="164"/>
      <c r="L172" s="164"/>
      <c r="M172" s="164"/>
      <c r="N172" s="164"/>
      <c r="O172" s="164"/>
    </row>
    <row r="173" spans="2:16">
      <c r="D173" s="18"/>
    </row>
    <row r="174" spans="2:16">
      <c r="B174" s="153" t="s">
        <v>104</v>
      </c>
      <c r="C174" s="153"/>
      <c r="D174" s="165"/>
      <c r="E174" s="167"/>
      <c r="F174" s="71"/>
      <c r="G174" s="153" t="s">
        <v>105</v>
      </c>
      <c r="H174" s="153"/>
      <c r="I174" s="153"/>
      <c r="J174" s="153"/>
      <c r="K174" s="11"/>
      <c r="L174" s="75" t="s">
        <v>106</v>
      </c>
      <c r="M174" s="165"/>
      <c r="N174" s="166"/>
      <c r="O174" s="167"/>
    </row>
    <row r="175" spans="2:16">
      <c r="B175" s="76"/>
      <c r="C175" s="76"/>
      <c r="D175" s="71"/>
      <c r="E175" s="71"/>
      <c r="F175" s="59"/>
      <c r="G175" s="59"/>
      <c r="H175" s="59"/>
    </row>
    <row r="176" spans="2:16">
      <c r="B176" s="153" t="s">
        <v>107</v>
      </c>
      <c r="C176" s="153"/>
      <c r="D176" s="154"/>
      <c r="E176" s="155"/>
      <c r="F176" s="155"/>
      <c r="G176" s="155"/>
      <c r="H176" s="155"/>
      <c r="I176" s="155"/>
      <c r="J176" s="155"/>
      <c r="K176" s="155"/>
      <c r="L176" s="155"/>
      <c r="M176" s="155"/>
      <c r="N176" s="155"/>
      <c r="O176" s="156"/>
    </row>
    <row r="177" spans="2:15">
      <c r="B177" s="153"/>
      <c r="C177" s="153"/>
      <c r="D177" s="157"/>
      <c r="E177" s="158"/>
      <c r="F177" s="158"/>
      <c r="G177" s="158"/>
      <c r="H177" s="158"/>
      <c r="I177" s="158"/>
      <c r="J177" s="158"/>
      <c r="K177" s="158"/>
      <c r="L177" s="158"/>
      <c r="M177" s="158"/>
      <c r="N177" s="158"/>
      <c r="O177" s="159"/>
    </row>
    <row r="178" spans="2:15">
      <c r="B178" s="36"/>
      <c r="D178" s="157"/>
      <c r="E178" s="158"/>
      <c r="F178" s="158"/>
      <c r="G178" s="158"/>
      <c r="H178" s="158"/>
      <c r="I178" s="158"/>
      <c r="J178" s="158"/>
      <c r="K178" s="158"/>
      <c r="L178" s="158"/>
      <c r="M178" s="158"/>
      <c r="N178" s="158"/>
      <c r="O178" s="159"/>
    </row>
    <row r="179" spans="2:15">
      <c r="D179" s="160"/>
      <c r="E179" s="161"/>
      <c r="F179" s="161"/>
      <c r="G179" s="161"/>
      <c r="H179" s="161"/>
      <c r="I179" s="161"/>
      <c r="J179" s="161"/>
      <c r="K179" s="161"/>
      <c r="L179" s="161"/>
      <c r="M179" s="161"/>
      <c r="N179" s="161"/>
      <c r="O179" s="162"/>
    </row>
    <row r="181" spans="2:15">
      <c r="H181" s="196" t="s">
        <v>37</v>
      </c>
      <c r="I181" s="196"/>
      <c r="K181" s="197" t="s">
        <v>38</v>
      </c>
      <c r="L181" s="197"/>
      <c r="M181" s="197"/>
      <c r="N181" s="197"/>
      <c r="O181" s="197"/>
    </row>
    <row r="182" spans="2:15" ht="30">
      <c r="C182" s="88" t="s">
        <v>39</v>
      </c>
      <c r="D182" s="150" t="s">
        <v>108</v>
      </c>
      <c r="E182" s="150"/>
      <c r="F182" s="41" t="s">
        <v>41</v>
      </c>
      <c r="G182" s="42"/>
      <c r="H182" s="91" t="s">
        <v>42</v>
      </c>
      <c r="I182" s="98" t="s">
        <v>43</v>
      </c>
      <c r="J182" s="42"/>
      <c r="K182" s="89" t="s">
        <v>44</v>
      </c>
      <c r="L182" s="90" t="s">
        <v>45</v>
      </c>
      <c r="M182" s="199" t="s">
        <v>46</v>
      </c>
      <c r="N182" s="199"/>
      <c r="O182" s="200"/>
    </row>
    <row r="183" spans="2:15">
      <c r="C183" s="94" t="s">
        <v>109</v>
      </c>
      <c r="D183" s="151"/>
      <c r="E183" s="151"/>
      <c r="F183" s="9"/>
      <c r="H183" s="46" t="str">
        <f>IF(F183&gt;200,"Yes","No")</f>
        <v>No</v>
      </c>
      <c r="I183" s="6" t="b">
        <v>0</v>
      </c>
      <c r="K183" s="7"/>
      <c r="L183" s="64">
        <f>K183-F183</f>
        <v>0</v>
      </c>
      <c r="M183" s="147"/>
      <c r="N183" s="147"/>
      <c r="O183" s="148"/>
    </row>
    <row r="184" spans="2:15">
      <c r="C184" s="95" t="s">
        <v>110</v>
      </c>
      <c r="D184" s="149"/>
      <c r="E184" s="149"/>
      <c r="F184" s="5"/>
      <c r="H184" s="46" t="str">
        <f t="shared" ref="H184:H193" si="13">IF(F184&gt;200,"Yes","No")</f>
        <v>No</v>
      </c>
      <c r="I184" s="6" t="b">
        <v>0</v>
      </c>
      <c r="K184" s="7"/>
      <c r="L184" s="65">
        <f t="shared" ref="L184:L193" si="14">K184-F184</f>
        <v>0</v>
      </c>
      <c r="M184" s="147"/>
      <c r="N184" s="147"/>
      <c r="O184" s="148"/>
    </row>
    <row r="185" spans="2:15">
      <c r="C185" s="95" t="s">
        <v>111</v>
      </c>
      <c r="D185" s="149"/>
      <c r="E185" s="149"/>
      <c r="F185" s="5"/>
      <c r="H185" s="46" t="str">
        <f t="shared" si="13"/>
        <v>No</v>
      </c>
      <c r="I185" s="6" t="b">
        <v>0</v>
      </c>
      <c r="K185" s="7"/>
      <c r="L185" s="65">
        <f t="shared" si="14"/>
        <v>0</v>
      </c>
      <c r="M185" s="147"/>
      <c r="N185" s="147"/>
      <c r="O185" s="148"/>
    </row>
    <row r="186" spans="2:15">
      <c r="C186" s="95" t="s">
        <v>112</v>
      </c>
      <c r="D186" s="149"/>
      <c r="E186" s="149"/>
      <c r="F186" s="5"/>
      <c r="H186" s="46" t="str">
        <f t="shared" si="13"/>
        <v>No</v>
      </c>
      <c r="I186" s="6" t="b">
        <v>0</v>
      </c>
      <c r="K186" s="7"/>
      <c r="L186" s="65">
        <f t="shared" si="14"/>
        <v>0</v>
      </c>
      <c r="M186" s="147"/>
      <c r="N186" s="147"/>
      <c r="O186" s="148"/>
    </row>
    <row r="187" spans="2:15">
      <c r="C187" s="95" t="s">
        <v>113</v>
      </c>
      <c r="D187" s="149"/>
      <c r="E187" s="149"/>
      <c r="F187" s="5"/>
      <c r="H187" s="46" t="str">
        <f t="shared" si="13"/>
        <v>No</v>
      </c>
      <c r="I187" s="6" t="b">
        <v>0</v>
      </c>
      <c r="K187" s="7"/>
      <c r="L187" s="65">
        <f t="shared" si="14"/>
        <v>0</v>
      </c>
      <c r="M187" s="147"/>
      <c r="N187" s="147"/>
      <c r="O187" s="148"/>
    </row>
    <row r="188" spans="2:15">
      <c r="C188" s="95" t="s">
        <v>102</v>
      </c>
      <c r="D188" s="149"/>
      <c r="E188" s="149"/>
      <c r="F188" s="5"/>
      <c r="H188" s="46" t="str">
        <f t="shared" si="13"/>
        <v>No</v>
      </c>
      <c r="I188" s="6" t="b">
        <v>0</v>
      </c>
      <c r="K188" s="7"/>
      <c r="L188" s="65">
        <f t="shared" si="14"/>
        <v>0</v>
      </c>
      <c r="M188" s="147"/>
      <c r="N188" s="147"/>
      <c r="O188" s="148"/>
    </row>
    <row r="189" spans="2:15">
      <c r="C189" s="95" t="s">
        <v>102</v>
      </c>
      <c r="D189" s="149"/>
      <c r="E189" s="149"/>
      <c r="F189" s="5"/>
      <c r="H189" s="46" t="str">
        <f t="shared" si="13"/>
        <v>No</v>
      </c>
      <c r="I189" s="6" t="b">
        <v>0</v>
      </c>
      <c r="K189" s="7"/>
      <c r="L189" s="65">
        <f t="shared" si="14"/>
        <v>0</v>
      </c>
      <c r="M189" s="147"/>
      <c r="N189" s="147"/>
      <c r="O189" s="148"/>
    </row>
    <row r="190" spans="2:15">
      <c r="C190" s="95" t="s">
        <v>102</v>
      </c>
      <c r="D190" s="149"/>
      <c r="E190" s="149"/>
      <c r="F190" s="5"/>
      <c r="H190" s="46" t="str">
        <f t="shared" si="13"/>
        <v>No</v>
      </c>
      <c r="I190" s="6" t="b">
        <v>0</v>
      </c>
      <c r="K190" s="7"/>
      <c r="L190" s="65">
        <f t="shared" si="14"/>
        <v>0</v>
      </c>
      <c r="M190" s="147"/>
      <c r="N190" s="147"/>
      <c r="O190" s="148"/>
    </row>
    <row r="191" spans="2:15">
      <c r="C191" s="95" t="s">
        <v>102</v>
      </c>
      <c r="D191" s="149"/>
      <c r="E191" s="149"/>
      <c r="F191" s="5"/>
      <c r="H191" s="46" t="str">
        <f t="shared" si="13"/>
        <v>No</v>
      </c>
      <c r="I191" s="6" t="b">
        <v>0</v>
      </c>
      <c r="K191" s="7"/>
      <c r="L191" s="65">
        <f t="shared" si="14"/>
        <v>0</v>
      </c>
      <c r="M191" s="147"/>
      <c r="N191" s="147"/>
      <c r="O191" s="148"/>
    </row>
    <row r="192" spans="2:15">
      <c r="C192" s="95" t="s">
        <v>102</v>
      </c>
      <c r="D192" s="149"/>
      <c r="E192" s="149"/>
      <c r="F192" s="5"/>
      <c r="H192" s="46" t="str">
        <f t="shared" si="13"/>
        <v>No</v>
      </c>
      <c r="I192" s="6" t="b">
        <v>0</v>
      </c>
      <c r="K192" s="7"/>
      <c r="L192" s="65">
        <f t="shared" si="14"/>
        <v>0</v>
      </c>
      <c r="M192" s="147"/>
      <c r="N192" s="147"/>
      <c r="O192" s="148"/>
    </row>
    <row r="193" spans="2:16">
      <c r="C193" s="95" t="s">
        <v>102</v>
      </c>
      <c r="D193" s="149"/>
      <c r="E193" s="149"/>
      <c r="F193" s="5"/>
      <c r="H193" s="46" t="str">
        <f t="shared" si="13"/>
        <v>No</v>
      </c>
      <c r="I193" s="6" t="b">
        <v>0</v>
      </c>
      <c r="K193" s="7"/>
      <c r="L193" s="65">
        <f t="shared" si="14"/>
        <v>0</v>
      </c>
      <c r="M193" s="147"/>
      <c r="N193" s="147"/>
      <c r="O193" s="148"/>
    </row>
    <row r="194" spans="2:16" ht="15.75" thickBot="1">
      <c r="E194" s="69" t="s">
        <v>98</v>
      </c>
      <c r="F194" s="79">
        <f>SUM(F183:F193)</f>
        <v>0</v>
      </c>
      <c r="K194" s="80">
        <f>SUM(K183:K193)</f>
        <v>0</v>
      </c>
      <c r="L194" s="70"/>
      <c r="M194" s="71"/>
      <c r="N194" s="71"/>
      <c r="O194" s="71"/>
    </row>
    <row r="195" spans="2:16" ht="15.75" thickTop="1">
      <c r="M195" s="235" t="s">
        <v>100</v>
      </c>
      <c r="N195" s="235"/>
      <c r="O195" s="235"/>
      <c r="P195" s="235"/>
    </row>
    <row r="197" spans="2:16">
      <c r="B197" s="164" t="s">
        <v>115</v>
      </c>
      <c r="C197" s="164"/>
      <c r="D197" s="164"/>
      <c r="E197" s="164"/>
      <c r="F197" s="164"/>
      <c r="G197" s="164"/>
      <c r="H197" s="164"/>
      <c r="I197" s="164"/>
      <c r="J197" s="164"/>
      <c r="K197" s="164"/>
      <c r="L197" s="164"/>
      <c r="M197" s="164"/>
      <c r="N197" s="164"/>
      <c r="O197" s="164"/>
    </row>
    <row r="198" spans="2:16">
      <c r="D198" s="18"/>
    </row>
    <row r="199" spans="2:16">
      <c r="B199" s="153" t="s">
        <v>104</v>
      </c>
      <c r="C199" s="153"/>
      <c r="D199" s="165"/>
      <c r="E199" s="167"/>
      <c r="F199" s="71"/>
      <c r="G199" s="153" t="s">
        <v>105</v>
      </c>
      <c r="H199" s="153"/>
      <c r="I199" s="153"/>
      <c r="J199" s="153"/>
      <c r="K199" s="11"/>
      <c r="L199" s="75" t="s">
        <v>106</v>
      </c>
      <c r="M199" s="165"/>
      <c r="N199" s="166"/>
      <c r="O199" s="167"/>
    </row>
    <row r="200" spans="2:16">
      <c r="B200" s="76"/>
      <c r="C200" s="76"/>
      <c r="D200" s="71"/>
      <c r="E200" s="71"/>
      <c r="F200" s="59"/>
      <c r="G200" s="59"/>
      <c r="H200" s="59"/>
    </row>
    <row r="201" spans="2:16">
      <c r="B201" s="153" t="s">
        <v>107</v>
      </c>
      <c r="C201" s="153"/>
      <c r="D201" s="154"/>
      <c r="E201" s="155"/>
      <c r="F201" s="155"/>
      <c r="G201" s="155"/>
      <c r="H201" s="155"/>
      <c r="I201" s="155"/>
      <c r="J201" s="155"/>
      <c r="K201" s="155"/>
      <c r="L201" s="155"/>
      <c r="M201" s="155"/>
      <c r="N201" s="155"/>
      <c r="O201" s="156"/>
    </row>
    <row r="202" spans="2:16">
      <c r="B202" s="153"/>
      <c r="C202" s="153"/>
      <c r="D202" s="157"/>
      <c r="E202" s="158"/>
      <c r="F202" s="158"/>
      <c r="G202" s="158"/>
      <c r="H202" s="158"/>
      <c r="I202" s="158"/>
      <c r="J202" s="158"/>
      <c r="K202" s="158"/>
      <c r="L202" s="158"/>
      <c r="M202" s="158"/>
      <c r="N202" s="158"/>
      <c r="O202" s="159"/>
    </row>
    <row r="203" spans="2:16">
      <c r="B203" s="36"/>
      <c r="D203" s="157"/>
      <c r="E203" s="158"/>
      <c r="F203" s="158"/>
      <c r="G203" s="158"/>
      <c r="H203" s="158"/>
      <c r="I203" s="158"/>
      <c r="J203" s="158"/>
      <c r="K203" s="158"/>
      <c r="L203" s="158"/>
      <c r="M203" s="158"/>
      <c r="N203" s="158"/>
      <c r="O203" s="159"/>
    </row>
    <row r="204" spans="2:16">
      <c r="D204" s="160"/>
      <c r="E204" s="161"/>
      <c r="F204" s="161"/>
      <c r="G204" s="161"/>
      <c r="H204" s="161"/>
      <c r="I204" s="161"/>
      <c r="J204" s="161"/>
      <c r="K204" s="161"/>
      <c r="L204" s="161"/>
      <c r="M204" s="161"/>
      <c r="N204" s="161"/>
      <c r="O204" s="162"/>
    </row>
    <row r="206" spans="2:16">
      <c r="H206" s="196" t="s">
        <v>37</v>
      </c>
      <c r="I206" s="196"/>
      <c r="K206" s="197" t="s">
        <v>38</v>
      </c>
      <c r="L206" s="197"/>
      <c r="M206" s="197"/>
      <c r="N206" s="197"/>
      <c r="O206" s="197"/>
    </row>
    <row r="207" spans="2:16" ht="30">
      <c r="C207" s="88" t="s">
        <v>39</v>
      </c>
      <c r="D207" s="150" t="s">
        <v>108</v>
      </c>
      <c r="E207" s="150"/>
      <c r="F207" s="41" t="s">
        <v>41</v>
      </c>
      <c r="G207" s="42"/>
      <c r="H207" s="91" t="s">
        <v>42</v>
      </c>
      <c r="I207" s="98" t="s">
        <v>43</v>
      </c>
      <c r="J207" s="42"/>
      <c r="K207" s="89" t="s">
        <v>44</v>
      </c>
      <c r="L207" s="90" t="s">
        <v>45</v>
      </c>
      <c r="M207" s="199" t="s">
        <v>46</v>
      </c>
      <c r="N207" s="199"/>
      <c r="O207" s="200"/>
    </row>
    <row r="208" spans="2:16">
      <c r="C208" s="94" t="s">
        <v>109</v>
      </c>
      <c r="D208" s="151"/>
      <c r="E208" s="151"/>
      <c r="F208" s="9"/>
      <c r="H208" s="46" t="str">
        <f>IF(F208&gt;200,"Yes","No")</f>
        <v>No</v>
      </c>
      <c r="I208" s="6" t="b">
        <v>0</v>
      </c>
      <c r="K208" s="7"/>
      <c r="L208" s="64">
        <f>K208-F208</f>
        <v>0</v>
      </c>
      <c r="M208" s="147"/>
      <c r="N208" s="147"/>
      <c r="O208" s="148"/>
    </row>
    <row r="209" spans="3:16">
      <c r="C209" s="95" t="s">
        <v>110</v>
      </c>
      <c r="D209" s="149"/>
      <c r="E209" s="149"/>
      <c r="F209" s="5"/>
      <c r="H209" s="46" t="str">
        <f t="shared" ref="H209:H218" si="15">IF(F209&gt;200,"Yes","No")</f>
        <v>No</v>
      </c>
      <c r="I209" s="6" t="b">
        <v>0</v>
      </c>
      <c r="K209" s="7"/>
      <c r="L209" s="65">
        <f t="shared" ref="L209:L218" si="16">K209-F209</f>
        <v>0</v>
      </c>
      <c r="M209" s="147"/>
      <c r="N209" s="147"/>
      <c r="O209" s="148"/>
    </row>
    <row r="210" spans="3:16">
      <c r="C210" s="95" t="s">
        <v>111</v>
      </c>
      <c r="D210" s="149"/>
      <c r="E210" s="149"/>
      <c r="F210" s="5"/>
      <c r="H210" s="46" t="str">
        <f t="shared" si="15"/>
        <v>No</v>
      </c>
      <c r="I210" s="6" t="b">
        <v>0</v>
      </c>
      <c r="K210" s="7"/>
      <c r="L210" s="65">
        <f t="shared" si="16"/>
        <v>0</v>
      </c>
      <c r="M210" s="147"/>
      <c r="N210" s="147"/>
      <c r="O210" s="148"/>
    </row>
    <row r="211" spans="3:16">
      <c r="C211" s="95" t="s">
        <v>112</v>
      </c>
      <c r="D211" s="149"/>
      <c r="E211" s="149"/>
      <c r="F211" s="5"/>
      <c r="H211" s="46" t="str">
        <f t="shared" si="15"/>
        <v>No</v>
      </c>
      <c r="I211" s="6" t="b">
        <v>0</v>
      </c>
      <c r="K211" s="7"/>
      <c r="L211" s="65">
        <f t="shared" si="16"/>
        <v>0</v>
      </c>
      <c r="M211" s="147"/>
      <c r="N211" s="147"/>
      <c r="O211" s="148"/>
    </row>
    <row r="212" spans="3:16">
      <c r="C212" s="95" t="s">
        <v>113</v>
      </c>
      <c r="D212" s="149"/>
      <c r="E212" s="149"/>
      <c r="F212" s="5"/>
      <c r="H212" s="46" t="str">
        <f t="shared" si="15"/>
        <v>No</v>
      </c>
      <c r="I212" s="6" t="b">
        <v>0</v>
      </c>
      <c r="K212" s="7"/>
      <c r="L212" s="65">
        <f t="shared" si="16"/>
        <v>0</v>
      </c>
      <c r="M212" s="147"/>
      <c r="N212" s="147"/>
      <c r="O212" s="148"/>
    </row>
    <row r="213" spans="3:16">
      <c r="C213" s="95" t="s">
        <v>102</v>
      </c>
      <c r="D213" s="149"/>
      <c r="E213" s="149"/>
      <c r="F213" s="5"/>
      <c r="H213" s="46" t="str">
        <f t="shared" si="15"/>
        <v>No</v>
      </c>
      <c r="I213" s="6" t="b">
        <v>0</v>
      </c>
      <c r="K213" s="7"/>
      <c r="L213" s="65">
        <f t="shared" si="16"/>
        <v>0</v>
      </c>
      <c r="M213" s="147"/>
      <c r="N213" s="147"/>
      <c r="O213" s="148"/>
    </row>
    <row r="214" spans="3:16">
      <c r="C214" s="95" t="s">
        <v>102</v>
      </c>
      <c r="D214" s="149"/>
      <c r="E214" s="149"/>
      <c r="F214" s="5"/>
      <c r="H214" s="46" t="str">
        <f t="shared" si="15"/>
        <v>No</v>
      </c>
      <c r="I214" s="6" t="b">
        <v>0</v>
      </c>
      <c r="K214" s="7"/>
      <c r="L214" s="65">
        <f t="shared" si="16"/>
        <v>0</v>
      </c>
      <c r="M214" s="147"/>
      <c r="N214" s="147"/>
      <c r="O214" s="148"/>
    </row>
    <row r="215" spans="3:16">
      <c r="C215" s="95" t="s">
        <v>102</v>
      </c>
      <c r="D215" s="149"/>
      <c r="E215" s="149"/>
      <c r="F215" s="5"/>
      <c r="H215" s="46" t="str">
        <f t="shared" si="15"/>
        <v>No</v>
      </c>
      <c r="I215" s="6" t="b">
        <v>0</v>
      </c>
      <c r="K215" s="7"/>
      <c r="L215" s="65">
        <f t="shared" si="16"/>
        <v>0</v>
      </c>
      <c r="M215" s="147"/>
      <c r="N215" s="147"/>
      <c r="O215" s="148"/>
    </row>
    <row r="216" spans="3:16">
      <c r="C216" s="95" t="s">
        <v>102</v>
      </c>
      <c r="D216" s="149"/>
      <c r="E216" s="149"/>
      <c r="F216" s="5"/>
      <c r="H216" s="46" t="str">
        <f t="shared" si="15"/>
        <v>No</v>
      </c>
      <c r="I216" s="6" t="b">
        <v>0</v>
      </c>
      <c r="K216" s="7"/>
      <c r="L216" s="65">
        <f t="shared" si="16"/>
        <v>0</v>
      </c>
      <c r="M216" s="147"/>
      <c r="N216" s="147"/>
      <c r="O216" s="148"/>
    </row>
    <row r="217" spans="3:16">
      <c r="C217" s="95" t="s">
        <v>102</v>
      </c>
      <c r="D217" s="149"/>
      <c r="E217" s="149"/>
      <c r="F217" s="5"/>
      <c r="H217" s="46" t="str">
        <f t="shared" si="15"/>
        <v>No</v>
      </c>
      <c r="I217" s="6" t="b">
        <v>0</v>
      </c>
      <c r="K217" s="7"/>
      <c r="L217" s="65">
        <f t="shared" si="16"/>
        <v>0</v>
      </c>
      <c r="M217" s="147"/>
      <c r="N217" s="147"/>
      <c r="O217" s="148"/>
    </row>
    <row r="218" spans="3:16">
      <c r="C218" s="95" t="s">
        <v>102</v>
      </c>
      <c r="D218" s="149"/>
      <c r="E218" s="149"/>
      <c r="F218" s="5"/>
      <c r="H218" s="46" t="str">
        <f t="shared" si="15"/>
        <v>No</v>
      </c>
      <c r="I218" s="6" t="b">
        <v>0</v>
      </c>
      <c r="K218" s="7"/>
      <c r="L218" s="65">
        <f t="shared" si="16"/>
        <v>0</v>
      </c>
      <c r="M218" s="147"/>
      <c r="N218" s="147"/>
      <c r="O218" s="148"/>
    </row>
    <row r="219" spans="3:16" ht="15.75" thickBot="1">
      <c r="E219" s="69" t="s">
        <v>98</v>
      </c>
      <c r="F219" s="84">
        <f>SUM(F208:F218)</f>
        <v>0</v>
      </c>
      <c r="K219" s="85">
        <f>SUM(K208:K218)</f>
        <v>0</v>
      </c>
      <c r="L219" s="70"/>
      <c r="M219" s="71"/>
      <c r="N219" s="71"/>
      <c r="O219" s="71"/>
    </row>
    <row r="220" spans="3:16" ht="15.75" thickTop="1">
      <c r="M220" s="235" t="s">
        <v>100</v>
      </c>
      <c r="N220" s="235"/>
      <c r="O220" s="235"/>
      <c r="P220" s="235"/>
    </row>
  </sheetData>
  <sheetProtection sheet="1" objects="1" scenarios="1"/>
  <mergeCells count="227">
    <mergeCell ref="M220:P220"/>
    <mergeCell ref="D156:E156"/>
    <mergeCell ref="D215:E215"/>
    <mergeCell ref="D216:E216"/>
    <mergeCell ref="D217:E217"/>
    <mergeCell ref="M217:O217"/>
    <mergeCell ref="D218:E218"/>
    <mergeCell ref="M218:O218"/>
    <mergeCell ref="D211:E211"/>
    <mergeCell ref="M211:O211"/>
    <mergeCell ref="D212:E212"/>
    <mergeCell ref="D213:E213"/>
    <mergeCell ref="D214:E214"/>
    <mergeCell ref="D208:E208"/>
    <mergeCell ref="M208:O208"/>
    <mergeCell ref="D209:E209"/>
    <mergeCell ref="M209:O209"/>
    <mergeCell ref="D210:E210"/>
    <mergeCell ref="M210:O210"/>
    <mergeCell ref="D190:E190"/>
    <mergeCell ref="D191:E191"/>
    <mergeCell ref="D192:E192"/>
    <mergeCell ref="M192:O192"/>
    <mergeCell ref="D193:E193"/>
    <mergeCell ref="B201:C202"/>
    <mergeCell ref="D201:O204"/>
    <mergeCell ref="H206:I206"/>
    <mergeCell ref="K206:O206"/>
    <mergeCell ref="D207:E207"/>
    <mergeCell ref="M207:O207"/>
    <mergeCell ref="M195:P195"/>
    <mergeCell ref="B197:O197"/>
    <mergeCell ref="B199:C199"/>
    <mergeCell ref="D199:E199"/>
    <mergeCell ref="G199:J199"/>
    <mergeCell ref="M199:O199"/>
    <mergeCell ref="D186:E186"/>
    <mergeCell ref="M186:O186"/>
    <mergeCell ref="D187:E187"/>
    <mergeCell ref="D188:E188"/>
    <mergeCell ref="D189:E189"/>
    <mergeCell ref="D183:E183"/>
    <mergeCell ref="M183:O183"/>
    <mergeCell ref="D184:E184"/>
    <mergeCell ref="M184:O184"/>
    <mergeCell ref="D185:E185"/>
    <mergeCell ref="M185:O185"/>
    <mergeCell ref="B104:C104"/>
    <mergeCell ref="D104:F104"/>
    <mergeCell ref="H104:J104"/>
    <mergeCell ref="M104:O104"/>
    <mergeCell ref="B176:C177"/>
    <mergeCell ref="D176:O179"/>
    <mergeCell ref="H181:I181"/>
    <mergeCell ref="K181:O181"/>
    <mergeCell ref="D182:E182"/>
    <mergeCell ref="M182:O182"/>
    <mergeCell ref="B172:O172"/>
    <mergeCell ref="B174:C174"/>
    <mergeCell ref="D174:E174"/>
    <mergeCell ref="G174:J174"/>
    <mergeCell ref="M174:O174"/>
    <mergeCell ref="M139:O139"/>
    <mergeCell ref="M135:O135"/>
    <mergeCell ref="M136:O136"/>
    <mergeCell ref="M137:O137"/>
    <mergeCell ref="M122:P122"/>
    <mergeCell ref="M144:P144"/>
    <mergeCell ref="M170:P170"/>
    <mergeCell ref="K110:O110"/>
    <mergeCell ref="M111:O111"/>
    <mergeCell ref="D90:E90"/>
    <mergeCell ref="M90:O90"/>
    <mergeCell ref="D91:E91"/>
    <mergeCell ref="M91:O91"/>
    <mergeCell ref="H132:I132"/>
    <mergeCell ref="K132:O132"/>
    <mergeCell ref="M133:O133"/>
    <mergeCell ref="M134:O134"/>
    <mergeCell ref="D149:E149"/>
    <mergeCell ref="G149:J149"/>
    <mergeCell ref="M117:O117"/>
    <mergeCell ref="M112:O112"/>
    <mergeCell ref="M113:O113"/>
    <mergeCell ref="M114:O114"/>
    <mergeCell ref="M115:O115"/>
    <mergeCell ref="M116:O116"/>
    <mergeCell ref="B102:O102"/>
    <mergeCell ref="K97:O100"/>
    <mergeCell ref="B147:O147"/>
    <mergeCell ref="B149:C149"/>
    <mergeCell ref="M149:O149"/>
    <mergeCell ref="B106:C106"/>
    <mergeCell ref="D106:O108"/>
    <mergeCell ref="H110:I110"/>
    <mergeCell ref="M86:O86"/>
    <mergeCell ref="M87:O87"/>
    <mergeCell ref="M92:O92"/>
    <mergeCell ref="D89:E89"/>
    <mergeCell ref="D92:E92"/>
    <mergeCell ref="M64:O64"/>
    <mergeCell ref="M67:O67"/>
    <mergeCell ref="M68:O68"/>
    <mergeCell ref="M69:O69"/>
    <mergeCell ref="M70:O70"/>
    <mergeCell ref="M71:O71"/>
    <mergeCell ref="M72:O72"/>
    <mergeCell ref="M73:O73"/>
    <mergeCell ref="M74:O74"/>
    <mergeCell ref="M75:O75"/>
    <mergeCell ref="M78:O78"/>
    <mergeCell ref="M83:O83"/>
    <mergeCell ref="M84:O84"/>
    <mergeCell ref="M85:O85"/>
    <mergeCell ref="D84:E84"/>
    <mergeCell ref="D85:E85"/>
    <mergeCell ref="D86:E86"/>
    <mergeCell ref="D87:E87"/>
    <mergeCell ref="D82:E82"/>
    <mergeCell ref="D83:E83"/>
    <mergeCell ref="D70:E70"/>
    <mergeCell ref="D78:E78"/>
    <mergeCell ref="D79:E79"/>
    <mergeCell ref="M79:O79"/>
    <mergeCell ref="D80:E80"/>
    <mergeCell ref="M80:O80"/>
    <mergeCell ref="D63:E63"/>
    <mergeCell ref="M63:O63"/>
    <mergeCell ref="D64:E64"/>
    <mergeCell ref="D68:E68"/>
    <mergeCell ref="D69:E69"/>
    <mergeCell ref="H63:I63"/>
    <mergeCell ref="H64:I64"/>
    <mergeCell ref="D67:E67"/>
    <mergeCell ref="D71:E71"/>
    <mergeCell ref="D72:E72"/>
    <mergeCell ref="D73:E73"/>
    <mergeCell ref="D74:E74"/>
    <mergeCell ref="D75:E75"/>
    <mergeCell ref="D77:E77"/>
    <mergeCell ref="B45:O45"/>
    <mergeCell ref="H54:I54"/>
    <mergeCell ref="K54:O54"/>
    <mergeCell ref="D55:E55"/>
    <mergeCell ref="M55:O55"/>
    <mergeCell ref="H58:I58"/>
    <mergeCell ref="H59:I59"/>
    <mergeCell ref="H62:I62"/>
    <mergeCell ref="C32:N32"/>
    <mergeCell ref="B47:C48"/>
    <mergeCell ref="D47:O51"/>
    <mergeCell ref="D58:E58"/>
    <mergeCell ref="M58:O58"/>
    <mergeCell ref="D59:E59"/>
    <mergeCell ref="M59:O59"/>
    <mergeCell ref="D62:E62"/>
    <mergeCell ref="M62:O62"/>
    <mergeCell ref="B6:O6"/>
    <mergeCell ref="B37:O37"/>
    <mergeCell ref="B40:O43"/>
    <mergeCell ref="B38:O39"/>
    <mergeCell ref="F8:I9"/>
    <mergeCell ref="C28:N28"/>
    <mergeCell ref="D1:I4"/>
    <mergeCell ref="L1:O4"/>
    <mergeCell ref="L8:O9"/>
    <mergeCell ref="B12:I13"/>
    <mergeCell ref="L12:O13"/>
    <mergeCell ref="B16:E17"/>
    <mergeCell ref="G16:I17"/>
    <mergeCell ref="L16:O17"/>
    <mergeCell ref="B20:E21"/>
    <mergeCell ref="G20:I21"/>
    <mergeCell ref="L20:O21"/>
    <mergeCell ref="B24:O25"/>
    <mergeCell ref="B8:D9"/>
    <mergeCell ref="K156:O156"/>
    <mergeCell ref="B151:C152"/>
    <mergeCell ref="D151:O154"/>
    <mergeCell ref="H156:I156"/>
    <mergeCell ref="M140:O140"/>
    <mergeCell ref="M141:O141"/>
    <mergeCell ref="M118:O118"/>
    <mergeCell ref="M119:O119"/>
    <mergeCell ref="B124:O124"/>
    <mergeCell ref="B126:C126"/>
    <mergeCell ref="D126:F126"/>
    <mergeCell ref="H126:J126"/>
    <mergeCell ref="M126:O126"/>
    <mergeCell ref="B128:C128"/>
    <mergeCell ref="D128:O130"/>
    <mergeCell ref="M138:O138"/>
    <mergeCell ref="D166:E166"/>
    <mergeCell ref="D167:E167"/>
    <mergeCell ref="D168:E168"/>
    <mergeCell ref="D157:E157"/>
    <mergeCell ref="D158:E158"/>
    <mergeCell ref="D159:E159"/>
    <mergeCell ref="D160:E160"/>
    <mergeCell ref="D161:E161"/>
    <mergeCell ref="D162:E162"/>
    <mergeCell ref="D163:E163"/>
    <mergeCell ref="D164:E164"/>
    <mergeCell ref="D165:E165"/>
    <mergeCell ref="M212:O212"/>
    <mergeCell ref="M213:O213"/>
    <mergeCell ref="M214:O214"/>
    <mergeCell ref="M215:O215"/>
    <mergeCell ref="M216:O216"/>
    <mergeCell ref="M187:O187"/>
    <mergeCell ref="M188:O188"/>
    <mergeCell ref="M189:O189"/>
    <mergeCell ref="M190:O190"/>
    <mergeCell ref="M191:O191"/>
    <mergeCell ref="M193:O193"/>
    <mergeCell ref="M157:O157"/>
    <mergeCell ref="M158:O158"/>
    <mergeCell ref="M159:O159"/>
    <mergeCell ref="M160:O160"/>
    <mergeCell ref="M161:O161"/>
    <mergeCell ref="M167:O167"/>
    <mergeCell ref="M168:O168"/>
    <mergeCell ref="M162:O162"/>
    <mergeCell ref="M163:O163"/>
    <mergeCell ref="M164:O164"/>
    <mergeCell ref="M165:O165"/>
    <mergeCell ref="M166:O166"/>
  </mergeCells>
  <dataValidations count="2">
    <dataValidation type="textLength" operator="lessThanOrEqual" allowBlank="1" showInputMessage="1" showErrorMessage="1" sqref="D78:E81 D83:E88 D67:E76 D90:E92" xr:uid="{10517ACE-D612-406B-96FF-40EFE3FFAB9A}">
      <formula1>100</formula1>
    </dataValidation>
    <dataValidation type="textLength" operator="lessThanOrEqual" allowBlank="1" showInputMessage="1" showErrorMessage="1" sqref="D158:E168 D183:E193 D208:E218" xr:uid="{5BBF4E05-033D-4F4B-8B8B-024C6144A96E}">
      <formula1>75</formula1>
    </dataValidation>
  </dataValidations>
  <hyperlinks>
    <hyperlink ref="L14" r:id="rId1" xr:uid="{7AD8416E-F161-4B58-B9B8-BED65D710603}"/>
    <hyperlink ref="D58:E58" location="'Appropriation Request'!F112" display="Travel Breakdown Below (Click me)" xr:uid="{CC5AA098-522F-41F8-BF69-DEE20F0B0667}"/>
    <hyperlink ref="D59:E59" location="'Appropriation Request'!F134" display="Travel Breakdown Below (Click me)" xr:uid="{84D0EE88-F537-453E-88BE-57B8BF8FB5BB}"/>
    <hyperlink ref="M122" location="Sheet1!A54" display="Return to Main Appropriation Request" xr:uid="{4422A768-5A54-495D-89EA-7AD87828D701}"/>
    <hyperlink ref="M144" location="Sheet1!A54" display="Return to Main Appropriation Request" xr:uid="{792D12A1-CA6D-41F6-BC32-285BB8317FCE}"/>
    <hyperlink ref="M170" location="Sheet1!A54" display="Return to Main Appropriation Request" xr:uid="{86B28732-B2D7-414D-8539-EA0FE73CCEFD}"/>
    <hyperlink ref="D62:E62" location="'Appropriation Request'!F158" display="Event Breakdown Below (click me)" xr:uid="{08C7CB2C-E7E1-4697-BF81-472883E30361}"/>
    <hyperlink ref="D63:E63" location="'Appropriation Request'!F188" display="Event Breakdown Below (click me)" xr:uid="{062A4D83-EC67-434E-8655-9B52B2EE8E50}"/>
    <hyperlink ref="D64:E64" location="'Appropriation Request'!F208" display="Event Breakdown Below (click me)" xr:uid="{14566484-2426-4526-A3FE-57AB5B537BD5}"/>
    <hyperlink ref="M122:P122" location="'Appropriation Request'!D47" display="Return to Main Appropriation Request" xr:uid="{A79EDB40-873F-44C2-B8C9-D11A89D5800E}"/>
    <hyperlink ref="M195" location="Sheet1!A54" display="Return to Main Appropriation Request" xr:uid="{6D37C109-7FCC-451A-86A4-182DDB91F868}"/>
    <hyperlink ref="M220" location="Sheet1!A54" display="Return to Main Appropriation Request" xr:uid="{D3143B8B-03EA-4B07-9986-C7FFC31DB413}"/>
    <hyperlink ref="M170:P170" location="'Appropriation Request'!D47" display="Return to Main Appropriation Request" xr:uid="{3EDEA1B0-6161-4730-8340-39FE91A02CA4}"/>
    <hyperlink ref="M195:P195" location="'Appropriation Request'!D47" display="Return to Main Appropriation Request" xr:uid="{5C7EA33B-BB14-4862-A718-839C991838A3}"/>
    <hyperlink ref="M220:P220" location="'Appropriation Request'!D47" display="Return to Main Appropriation Request" xr:uid="{98100BA1-F2B6-47C8-BE20-E9BD8DBBF8C4}"/>
    <hyperlink ref="M144:P144" location="'Appropriation Request'!D47" display="Return to Main Appropriation Request" xr:uid="{E6CEDFDA-06FF-4B51-B21A-35F7322C92C8}"/>
  </hyperlinks>
  <pageMargins left="0.7" right="0.7" top="0.75" bottom="0.75" header="0.3" footer="0.3"/>
  <pageSetup orientation="portrait" r:id="rId2"/>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B8CFF-598D-40AB-A6D0-40B0DB760EB6}">
  <dimension ref="A1:I43"/>
  <sheetViews>
    <sheetView workbookViewId="0">
      <selection activeCell="C2" sqref="C2"/>
    </sheetView>
  </sheetViews>
  <sheetFormatPr defaultRowHeight="15"/>
  <cols>
    <col min="1" max="1" width="45.5703125" customWidth="1"/>
    <col min="2" max="2" width="78.7109375" customWidth="1"/>
    <col min="3" max="5" width="15" customWidth="1"/>
    <col min="6" max="6" width="14" customWidth="1"/>
    <col min="7" max="7" width="56.85546875" customWidth="1"/>
    <col min="8" max="9" width="42" customWidth="1"/>
  </cols>
  <sheetData>
    <row r="1" spans="1:9">
      <c r="A1" t="s">
        <v>116</v>
      </c>
    </row>
    <row r="2" spans="1:9" ht="87.75" customHeight="1">
      <c r="A2" s="67" t="s">
        <v>117</v>
      </c>
    </row>
    <row r="3" spans="1:9">
      <c r="A3" t="s">
        <v>39</v>
      </c>
      <c r="B3" t="s">
        <v>118</v>
      </c>
      <c r="C3" t="s">
        <v>119</v>
      </c>
      <c r="D3" t="s">
        <v>120</v>
      </c>
      <c r="E3" t="s">
        <v>121</v>
      </c>
      <c r="F3" t="s">
        <v>42</v>
      </c>
      <c r="G3" t="s">
        <v>122</v>
      </c>
      <c r="H3" t="s">
        <v>123</v>
      </c>
      <c r="I3" t="s">
        <v>124</v>
      </c>
    </row>
    <row r="4" spans="1:9">
      <c r="A4" t="s">
        <v>53</v>
      </c>
      <c r="B4" t="s">
        <v>125</v>
      </c>
      <c r="C4">
        <v>1</v>
      </c>
      <c r="D4">
        <v>300</v>
      </c>
      <c r="E4">
        <v>300</v>
      </c>
      <c r="F4" t="s">
        <v>126</v>
      </c>
    </row>
    <row r="5" spans="1:9">
      <c r="A5" t="s">
        <v>65</v>
      </c>
      <c r="B5" t="s">
        <v>127</v>
      </c>
      <c r="C5">
        <v>1</v>
      </c>
      <c r="D5">
        <v>389.95</v>
      </c>
      <c r="E5">
        <v>389.95</v>
      </c>
      <c r="F5" t="s">
        <v>126</v>
      </c>
      <c r="G5" s="257" t="s">
        <v>128</v>
      </c>
      <c r="H5" t="s">
        <v>129</v>
      </c>
      <c r="I5" t="s">
        <v>130</v>
      </c>
    </row>
    <row r="6" spans="1:9">
      <c r="A6" t="s">
        <v>65</v>
      </c>
      <c r="B6" t="s">
        <v>131</v>
      </c>
      <c r="C6">
        <v>2</v>
      </c>
      <c r="D6">
        <v>35</v>
      </c>
      <c r="E6">
        <v>70</v>
      </c>
      <c r="F6" t="s">
        <v>126</v>
      </c>
      <c r="G6" t="s">
        <v>132</v>
      </c>
      <c r="H6" t="s">
        <v>133</v>
      </c>
      <c r="I6" t="s">
        <v>134</v>
      </c>
    </row>
    <row r="7" spans="1:9">
      <c r="A7" t="s">
        <v>65</v>
      </c>
      <c r="B7" t="s">
        <v>135</v>
      </c>
      <c r="C7">
        <v>2</v>
      </c>
      <c r="D7">
        <v>10</v>
      </c>
      <c r="E7">
        <v>20</v>
      </c>
      <c r="F7" t="s">
        <v>126</v>
      </c>
      <c r="G7" t="s">
        <v>136</v>
      </c>
      <c r="H7" t="s">
        <v>137</v>
      </c>
      <c r="I7" t="s">
        <v>138</v>
      </c>
    </row>
    <row r="8" spans="1:9">
      <c r="A8" t="s">
        <v>68</v>
      </c>
      <c r="B8" t="s">
        <v>139</v>
      </c>
      <c r="C8">
        <v>16</v>
      </c>
      <c r="D8">
        <v>26.39</v>
      </c>
      <c r="E8">
        <v>422.24</v>
      </c>
      <c r="F8" t="s">
        <v>126</v>
      </c>
      <c r="G8" t="s">
        <v>140</v>
      </c>
      <c r="H8" t="s">
        <v>141</v>
      </c>
      <c r="I8" t="s">
        <v>142</v>
      </c>
    </row>
    <row r="9" spans="1:9">
      <c r="A9" t="s">
        <v>68</v>
      </c>
      <c r="B9" t="s">
        <v>143</v>
      </c>
      <c r="C9">
        <v>2</v>
      </c>
      <c r="D9">
        <v>14.95</v>
      </c>
      <c r="E9">
        <v>29.9</v>
      </c>
      <c r="F9" t="s">
        <v>126</v>
      </c>
      <c r="G9" t="s">
        <v>144</v>
      </c>
      <c r="H9" t="s">
        <v>145</v>
      </c>
      <c r="I9" t="s">
        <v>146</v>
      </c>
    </row>
    <row r="10" spans="1:9">
      <c r="A10" t="s">
        <v>68</v>
      </c>
      <c r="B10" t="s">
        <v>147</v>
      </c>
      <c r="C10">
        <v>2</v>
      </c>
      <c r="D10">
        <v>6.49</v>
      </c>
      <c r="E10">
        <v>12.98</v>
      </c>
      <c r="F10" t="s">
        <v>126</v>
      </c>
      <c r="G10" t="s">
        <v>148</v>
      </c>
      <c r="H10" t="s">
        <v>149</v>
      </c>
      <c r="I10" t="s">
        <v>150</v>
      </c>
    </row>
    <row r="11" spans="1:9">
      <c r="A11" t="s">
        <v>68</v>
      </c>
      <c r="B11" t="s">
        <v>151</v>
      </c>
      <c r="C11">
        <v>1</v>
      </c>
      <c r="D11">
        <v>18.989999999999998</v>
      </c>
      <c r="E11">
        <v>18.989999999999998</v>
      </c>
      <c r="F11" t="s">
        <v>126</v>
      </c>
      <c r="G11" t="s">
        <v>152</v>
      </c>
      <c r="H11" t="s">
        <v>153</v>
      </c>
      <c r="I11" t="s">
        <v>154</v>
      </c>
    </row>
    <row r="12" spans="1:9">
      <c r="A12" t="s">
        <v>68</v>
      </c>
      <c r="B12" t="s">
        <v>155</v>
      </c>
      <c r="C12">
        <v>1</v>
      </c>
      <c r="D12">
        <v>44.99</v>
      </c>
      <c r="E12">
        <v>44.99</v>
      </c>
      <c r="F12" t="s">
        <v>126</v>
      </c>
      <c r="G12" t="s">
        <v>156</v>
      </c>
      <c r="H12" t="s">
        <v>157</v>
      </c>
      <c r="I12" t="s">
        <v>158</v>
      </c>
    </row>
    <row r="13" spans="1:9">
      <c r="A13" t="s">
        <v>68</v>
      </c>
      <c r="B13" t="s">
        <v>159</v>
      </c>
      <c r="C13">
        <v>1</v>
      </c>
      <c r="D13">
        <v>98.99</v>
      </c>
      <c r="E13">
        <v>98.99</v>
      </c>
      <c r="F13" t="s">
        <v>126</v>
      </c>
      <c r="G13" t="s">
        <v>160</v>
      </c>
      <c r="H13" t="s">
        <v>161</v>
      </c>
      <c r="I13" t="s">
        <v>162</v>
      </c>
    </row>
    <row r="14" spans="1:9">
      <c r="A14" t="s">
        <v>68</v>
      </c>
      <c r="B14" t="s">
        <v>163</v>
      </c>
      <c r="C14">
        <v>2</v>
      </c>
      <c r="D14">
        <v>10.99</v>
      </c>
      <c r="E14">
        <v>21.98</v>
      </c>
      <c r="F14" t="s">
        <v>126</v>
      </c>
      <c r="G14" t="s">
        <v>164</v>
      </c>
      <c r="H14" t="s">
        <v>165</v>
      </c>
      <c r="I14" t="s">
        <v>166</v>
      </c>
    </row>
    <row r="15" spans="1:9">
      <c r="A15" t="s">
        <v>68</v>
      </c>
      <c r="B15" t="s">
        <v>167</v>
      </c>
      <c r="C15">
        <v>1</v>
      </c>
      <c r="D15">
        <v>10</v>
      </c>
      <c r="E15">
        <v>10</v>
      </c>
      <c r="F15" t="s">
        <v>126</v>
      </c>
      <c r="G15" t="s">
        <v>168</v>
      </c>
      <c r="H15" t="s">
        <v>165</v>
      </c>
      <c r="I15" t="s">
        <v>169</v>
      </c>
    </row>
    <row r="16" spans="1:9">
      <c r="A16" t="s">
        <v>170</v>
      </c>
      <c r="B16" t="s">
        <v>171</v>
      </c>
      <c r="C16">
        <v>3</v>
      </c>
      <c r="D16">
        <v>43.99</v>
      </c>
      <c r="E16">
        <v>131.97</v>
      </c>
      <c r="F16" t="s">
        <v>126</v>
      </c>
      <c r="G16" t="s">
        <v>172</v>
      </c>
      <c r="H16" t="s">
        <v>173</v>
      </c>
      <c r="I16" t="s">
        <v>174</v>
      </c>
    </row>
    <row r="17" spans="1:9">
      <c r="A17" t="s">
        <v>170</v>
      </c>
      <c r="B17" t="s">
        <v>175</v>
      </c>
      <c r="C17">
        <v>3</v>
      </c>
      <c r="D17">
        <v>69.989999999999995</v>
      </c>
      <c r="E17">
        <v>209.97</v>
      </c>
      <c r="F17" t="s">
        <v>126</v>
      </c>
      <c r="G17" t="s">
        <v>176</v>
      </c>
      <c r="H17" t="s">
        <v>177</v>
      </c>
      <c r="I17" t="s">
        <v>178</v>
      </c>
    </row>
    <row r="18" spans="1:9">
      <c r="A18" t="s">
        <v>170</v>
      </c>
      <c r="B18" t="s">
        <v>179</v>
      </c>
      <c r="C18">
        <v>3</v>
      </c>
      <c r="D18">
        <v>26.95</v>
      </c>
      <c r="E18">
        <v>80.849999999999994</v>
      </c>
      <c r="F18" t="s">
        <v>126</v>
      </c>
      <c r="G18" t="s">
        <v>180</v>
      </c>
      <c r="H18" t="s">
        <v>181</v>
      </c>
      <c r="I18" t="s">
        <v>182</v>
      </c>
    </row>
    <row r="19" spans="1:9">
      <c r="A19" t="s">
        <v>170</v>
      </c>
      <c r="B19" t="s">
        <v>183</v>
      </c>
      <c r="C19">
        <v>1</v>
      </c>
      <c r="D19">
        <v>7.95</v>
      </c>
      <c r="E19">
        <v>7.95</v>
      </c>
      <c r="F19" t="s">
        <v>126</v>
      </c>
      <c r="G19" t="s">
        <v>184</v>
      </c>
      <c r="H19" t="s">
        <v>185</v>
      </c>
      <c r="I19" t="s">
        <v>186</v>
      </c>
    </row>
    <row r="20" spans="1:9">
      <c r="A20" t="s">
        <v>170</v>
      </c>
      <c r="B20" t="s">
        <v>187</v>
      </c>
      <c r="C20">
        <v>1</v>
      </c>
      <c r="D20">
        <v>6.95</v>
      </c>
      <c r="E20">
        <v>6.95</v>
      </c>
      <c r="F20" t="s">
        <v>126</v>
      </c>
      <c r="G20" t="s">
        <v>184</v>
      </c>
      <c r="H20" t="s">
        <v>188</v>
      </c>
      <c r="I20" t="s">
        <v>189</v>
      </c>
    </row>
    <row r="21" spans="1:9">
      <c r="A21" t="s">
        <v>170</v>
      </c>
      <c r="B21" t="s">
        <v>190</v>
      </c>
      <c r="C21">
        <v>1</v>
      </c>
      <c r="D21">
        <v>2.95</v>
      </c>
      <c r="E21">
        <v>2.95</v>
      </c>
      <c r="F21" t="s">
        <v>126</v>
      </c>
      <c r="G21" t="s">
        <v>184</v>
      </c>
      <c r="H21" t="s">
        <v>191</v>
      </c>
      <c r="I21" t="s">
        <v>192</v>
      </c>
    </row>
    <row r="22" spans="1:9">
      <c r="A22" t="s">
        <v>170</v>
      </c>
      <c r="B22" t="s">
        <v>193</v>
      </c>
      <c r="C22">
        <v>1</v>
      </c>
      <c r="D22">
        <v>5.95</v>
      </c>
      <c r="E22">
        <v>5.95</v>
      </c>
      <c r="F22" t="s">
        <v>126</v>
      </c>
      <c r="G22" t="s">
        <v>184</v>
      </c>
      <c r="H22" t="s">
        <v>194</v>
      </c>
      <c r="I22" t="s">
        <v>192</v>
      </c>
    </row>
    <row r="23" spans="1:9">
      <c r="A23" t="s">
        <v>75</v>
      </c>
      <c r="B23" t="s">
        <v>195</v>
      </c>
      <c r="C23">
        <v>2</v>
      </c>
      <c r="D23">
        <v>8.99</v>
      </c>
      <c r="E23">
        <v>17.98</v>
      </c>
      <c r="F23" t="s">
        <v>126</v>
      </c>
      <c r="G23" t="s">
        <v>196</v>
      </c>
      <c r="H23" t="s">
        <v>137</v>
      </c>
      <c r="I23" t="s">
        <v>197</v>
      </c>
    </row>
    <row r="24" spans="1:9">
      <c r="A24" t="s">
        <v>75</v>
      </c>
      <c r="B24" t="s">
        <v>198</v>
      </c>
      <c r="C24">
        <v>1</v>
      </c>
      <c r="D24">
        <v>18.989999999999998</v>
      </c>
      <c r="E24">
        <v>18.989999999999998</v>
      </c>
      <c r="F24" t="s">
        <v>126</v>
      </c>
      <c r="G24" t="s">
        <v>199</v>
      </c>
      <c r="H24" t="s">
        <v>153</v>
      </c>
      <c r="I24" t="s">
        <v>200</v>
      </c>
    </row>
    <row r="25" spans="1:9">
      <c r="A25" t="s">
        <v>75</v>
      </c>
      <c r="B25" t="s">
        <v>201</v>
      </c>
      <c r="C25">
        <v>2</v>
      </c>
      <c r="D25">
        <v>5</v>
      </c>
      <c r="E25">
        <v>10</v>
      </c>
      <c r="F25" t="s">
        <v>126</v>
      </c>
      <c r="G25" t="s">
        <v>202</v>
      </c>
      <c r="H25" t="s">
        <v>165</v>
      </c>
      <c r="I25" t="s">
        <v>203</v>
      </c>
    </row>
    <row r="26" spans="1:9">
      <c r="A26" t="s">
        <v>75</v>
      </c>
      <c r="B26" t="s">
        <v>204</v>
      </c>
      <c r="C26">
        <v>2</v>
      </c>
      <c r="D26">
        <v>12</v>
      </c>
      <c r="E26">
        <v>24</v>
      </c>
      <c r="F26" t="s">
        <v>126</v>
      </c>
      <c r="G26" t="s">
        <v>205</v>
      </c>
      <c r="H26" t="s">
        <v>165</v>
      </c>
      <c r="I26" t="s">
        <v>206</v>
      </c>
    </row>
    <row r="27" spans="1:9">
      <c r="A27" t="s">
        <v>75</v>
      </c>
      <c r="B27" t="s">
        <v>207</v>
      </c>
      <c r="C27">
        <v>1</v>
      </c>
      <c r="D27">
        <v>59.99</v>
      </c>
      <c r="E27">
        <v>59.99</v>
      </c>
      <c r="F27" t="s">
        <v>126</v>
      </c>
      <c r="G27" t="s">
        <v>208</v>
      </c>
      <c r="H27" t="s">
        <v>165</v>
      </c>
      <c r="I27" t="s">
        <v>209</v>
      </c>
    </row>
    <row r="28" spans="1:9">
      <c r="A28" t="s">
        <v>78</v>
      </c>
      <c r="B28" t="s">
        <v>210</v>
      </c>
      <c r="C28">
        <v>4</v>
      </c>
      <c r="D28">
        <v>12.5</v>
      </c>
      <c r="E28">
        <v>50</v>
      </c>
      <c r="F28" t="s">
        <v>126</v>
      </c>
      <c r="G28" t="s">
        <v>211</v>
      </c>
      <c r="H28" t="s">
        <v>212</v>
      </c>
      <c r="I28" t="s">
        <v>213</v>
      </c>
    </row>
    <row r="29" spans="1:9">
      <c r="A29" t="s">
        <v>78</v>
      </c>
      <c r="B29" t="s">
        <v>214</v>
      </c>
      <c r="C29">
        <v>1</v>
      </c>
      <c r="D29">
        <v>20</v>
      </c>
      <c r="E29">
        <v>20</v>
      </c>
      <c r="F29" t="s">
        <v>126</v>
      </c>
      <c r="G29" t="s">
        <v>215</v>
      </c>
      <c r="H29" t="s">
        <v>165</v>
      </c>
      <c r="I29" t="s">
        <v>216</v>
      </c>
    </row>
    <row r="30" spans="1:9">
      <c r="A30" t="s">
        <v>78</v>
      </c>
      <c r="B30" t="s">
        <v>217</v>
      </c>
      <c r="C30">
        <v>1</v>
      </c>
      <c r="D30">
        <v>7</v>
      </c>
      <c r="E30">
        <v>7</v>
      </c>
      <c r="F30" t="s">
        <v>126</v>
      </c>
      <c r="G30" t="s">
        <v>218</v>
      </c>
      <c r="H30" t="s">
        <v>165</v>
      </c>
      <c r="I30" t="s">
        <v>219</v>
      </c>
    </row>
    <row r="31" spans="1:9">
      <c r="A31" t="s">
        <v>78</v>
      </c>
      <c r="B31" t="s">
        <v>220</v>
      </c>
      <c r="C31">
        <v>1</v>
      </c>
      <c r="D31">
        <v>8</v>
      </c>
      <c r="E31">
        <v>8</v>
      </c>
      <c r="F31" t="s">
        <v>126</v>
      </c>
      <c r="G31" t="s">
        <v>221</v>
      </c>
      <c r="H31" t="s">
        <v>165</v>
      </c>
      <c r="I31" t="s">
        <v>219</v>
      </c>
    </row>
    <row r="32" spans="1:9">
      <c r="A32" t="s">
        <v>78</v>
      </c>
      <c r="B32" t="s">
        <v>222</v>
      </c>
      <c r="C32">
        <v>1</v>
      </c>
      <c r="D32">
        <v>7</v>
      </c>
      <c r="E32">
        <v>7</v>
      </c>
      <c r="F32" t="s">
        <v>126</v>
      </c>
      <c r="G32" t="s">
        <v>223</v>
      </c>
      <c r="H32" t="s">
        <v>165</v>
      </c>
      <c r="I32" t="s">
        <v>219</v>
      </c>
    </row>
    <row r="33" spans="1:9">
      <c r="A33" t="s">
        <v>78</v>
      </c>
      <c r="B33" t="s">
        <v>224</v>
      </c>
      <c r="C33">
        <v>1</v>
      </c>
      <c r="D33">
        <v>7</v>
      </c>
      <c r="E33">
        <v>7</v>
      </c>
      <c r="F33" t="s">
        <v>126</v>
      </c>
      <c r="G33" t="s">
        <v>225</v>
      </c>
      <c r="H33" t="s">
        <v>165</v>
      </c>
      <c r="I33" t="s">
        <v>219</v>
      </c>
    </row>
    <row r="34" spans="1:9">
      <c r="A34" t="s">
        <v>78</v>
      </c>
      <c r="B34" t="s">
        <v>226</v>
      </c>
      <c r="C34">
        <v>1</v>
      </c>
      <c r="D34">
        <v>7</v>
      </c>
      <c r="E34">
        <v>7</v>
      </c>
      <c r="F34" t="s">
        <v>126</v>
      </c>
      <c r="G34" t="s">
        <v>227</v>
      </c>
      <c r="H34" t="s">
        <v>165</v>
      </c>
      <c r="I34" t="s">
        <v>219</v>
      </c>
    </row>
    <row r="35" spans="1:9">
      <c r="A35" t="s">
        <v>78</v>
      </c>
      <c r="B35" t="s">
        <v>228</v>
      </c>
      <c r="C35">
        <v>1</v>
      </c>
      <c r="D35">
        <v>8</v>
      </c>
      <c r="E35">
        <v>8</v>
      </c>
      <c r="F35" t="s">
        <v>126</v>
      </c>
      <c r="G35" t="s">
        <v>229</v>
      </c>
      <c r="H35" t="s">
        <v>165</v>
      </c>
      <c r="I35" t="s">
        <v>230</v>
      </c>
    </row>
    <row r="36" spans="1:9">
      <c r="A36" t="s">
        <v>78</v>
      </c>
      <c r="B36" t="s">
        <v>231</v>
      </c>
      <c r="C36">
        <v>1</v>
      </c>
      <c r="D36">
        <v>7</v>
      </c>
      <c r="E36">
        <v>7</v>
      </c>
      <c r="F36" t="s">
        <v>126</v>
      </c>
      <c r="G36" t="s">
        <v>232</v>
      </c>
      <c r="H36" t="s">
        <v>165</v>
      </c>
      <c r="I36" t="s">
        <v>230</v>
      </c>
    </row>
    <row r="37" spans="1:9">
      <c r="A37" t="s">
        <v>78</v>
      </c>
      <c r="B37" t="s">
        <v>233</v>
      </c>
      <c r="C37">
        <v>12</v>
      </c>
      <c r="D37">
        <v>1</v>
      </c>
      <c r="E37">
        <v>12</v>
      </c>
      <c r="F37" t="s">
        <v>126</v>
      </c>
      <c r="G37" t="s">
        <v>234</v>
      </c>
      <c r="H37" t="s">
        <v>165</v>
      </c>
      <c r="I37" t="s">
        <v>235</v>
      </c>
    </row>
    <row r="38" spans="1:9">
      <c r="A38" t="s">
        <v>78</v>
      </c>
      <c r="B38" t="s">
        <v>236</v>
      </c>
      <c r="C38">
        <v>1</v>
      </c>
      <c r="D38">
        <v>7</v>
      </c>
      <c r="E38">
        <v>7</v>
      </c>
      <c r="F38" t="s">
        <v>126</v>
      </c>
      <c r="G38" t="s">
        <v>237</v>
      </c>
      <c r="H38" t="s">
        <v>165</v>
      </c>
      <c r="I38" t="s">
        <v>238</v>
      </c>
    </row>
    <row r="39" spans="1:9">
      <c r="A39" t="s">
        <v>78</v>
      </c>
      <c r="B39" t="s">
        <v>239</v>
      </c>
      <c r="C39">
        <v>1</v>
      </c>
      <c r="D39">
        <v>8</v>
      </c>
      <c r="E39">
        <v>8</v>
      </c>
      <c r="F39" t="s">
        <v>126</v>
      </c>
      <c r="G39" t="s">
        <v>240</v>
      </c>
      <c r="H39" t="s">
        <v>165</v>
      </c>
      <c r="I39" t="s">
        <v>241</v>
      </c>
    </row>
    <row r="40" spans="1:9">
      <c r="A40" t="s">
        <v>78</v>
      </c>
      <c r="B40" t="s">
        <v>242</v>
      </c>
      <c r="C40">
        <v>2</v>
      </c>
      <c r="D40">
        <v>16.989999999999998</v>
      </c>
      <c r="E40">
        <v>33.979999999999997</v>
      </c>
      <c r="F40" t="s">
        <v>126</v>
      </c>
      <c r="G40" t="s">
        <v>243</v>
      </c>
      <c r="H40" t="s">
        <v>165</v>
      </c>
      <c r="I40" t="s">
        <v>244</v>
      </c>
    </row>
    <row r="41" spans="1:9">
      <c r="A41" t="s">
        <v>78</v>
      </c>
      <c r="B41" t="s">
        <v>245</v>
      </c>
      <c r="C41">
        <v>1</v>
      </c>
      <c r="D41">
        <v>10</v>
      </c>
      <c r="E41">
        <v>10</v>
      </c>
      <c r="F41" t="s">
        <v>126</v>
      </c>
      <c r="G41" t="s">
        <v>246</v>
      </c>
      <c r="H41" t="s">
        <v>165</v>
      </c>
      <c r="I41" t="s">
        <v>247</v>
      </c>
    </row>
    <row r="42" spans="1:9">
      <c r="A42" t="s">
        <v>78</v>
      </c>
      <c r="B42" t="s">
        <v>248</v>
      </c>
      <c r="C42">
        <v>1</v>
      </c>
      <c r="D42">
        <v>8</v>
      </c>
      <c r="E42">
        <v>8</v>
      </c>
      <c r="F42" t="s">
        <v>126</v>
      </c>
      <c r="G42" t="s">
        <v>249</v>
      </c>
      <c r="H42" t="s">
        <v>165</v>
      </c>
      <c r="I42" t="s">
        <v>250</v>
      </c>
    </row>
    <row r="43" spans="1:9">
      <c r="A43" t="s">
        <v>78</v>
      </c>
      <c r="B43" t="s">
        <v>251</v>
      </c>
      <c r="C43">
        <v>1</v>
      </c>
      <c r="D43">
        <v>15</v>
      </c>
      <c r="E43">
        <v>15</v>
      </c>
      <c r="F43" t="s">
        <v>126</v>
      </c>
      <c r="G43" t="s">
        <v>252</v>
      </c>
      <c r="H43" t="s">
        <v>165</v>
      </c>
      <c r="I43" t="s">
        <v>253</v>
      </c>
    </row>
  </sheetData>
  <hyperlinks>
    <hyperlink ref="G5" r:id="rId1" display="https://www.newegg.com/beelink-ser-5-barebone-systems-mini-pc-amd-ryzen-5-5500u/p/2SW-0012-00209?item=9SIBSMJM023079&amp;source=region&amp;utm_source=google&amp;utm_medium=paid+shopping&amp;utm_campaign=knc-googlemkp-pc-_-pla-beelink+direct-_-barebone+systems+-+mini-pc-_-9SIBSMJM023079&amp;negg_topt=0&amp;id0=Google&amp;id1=19141281834&amp;id2=141459484262&amp;id3=&amp;id4=&amp;id5=pla-2521908262204&amp;id6=&amp;id7=1022546&amp;id8=&amp;id9=g&amp;id10=c&amp;id11=&amp;id12=Cj0KCQjw-frTBhCvARIsADv4XY6OmPw9RDiGFdVr3DsZdzfJXskW1o4CxskTQNWb244p54V_MntkcoMaAhrMEALw_wcB&amp;id13=&amp;id14=Y&amp;id15=&amp;id16=639428055260&amp;id17=&amp;id18=&amp;id19=&amp;id20=&amp;id21=pla&amp;id22=5293609592&amp;id23=online&amp;id24=9SIBSMJM023079&amp;id25=US&amp;id26=2521908262204&amp;id27=Y&amp;id28=&amp;id29=&amp;id30=2996184171574002713&amp;id31=en&amp;id32=&amp;id33=&amp;id34=&amp;gclsrc=aw.ds&amp;gad_source=1&amp;gad_campaignid=19141281834&amp;gbraid=0AAAAAD-YhmNKjvhjLNiFnpQlwUkKSVnER&amp;gclid=Cj0KCQjw-frTBhCvARIsADv4XY6OmPw9RDiGFdVr3DsZdzfJXskW1o4CxskTQNWb244p54V_MntkcoMaAhrMEALw_wcB" xr:uid="{BBB820F7-F7F2-4B81-84A1-F0171B763F9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CB44D-6CE5-4F29-9B37-5ED23B44050B}">
  <sheetPr>
    <tabColor theme="4" tint="0.39997558519241921"/>
  </sheetPr>
  <dimension ref="B1:H134"/>
  <sheetViews>
    <sheetView workbookViewId="0">
      <selection activeCell="F1" sqref="F1"/>
    </sheetView>
  </sheetViews>
  <sheetFormatPr defaultColWidth="8.7109375" defaultRowHeight="15"/>
  <cols>
    <col min="1" max="1" width="5.140625" customWidth="1"/>
    <col min="2" max="2" width="56.42578125" customWidth="1"/>
    <col min="3" max="3" width="62.42578125" customWidth="1"/>
  </cols>
  <sheetData>
    <row r="1" spans="2:4" ht="18.75" customHeight="1">
      <c r="B1" s="241" t="s">
        <v>254</v>
      </c>
      <c r="C1" s="242"/>
    </row>
    <row r="2" spans="2:4" ht="19.5" customHeight="1" thickBot="1">
      <c r="B2" s="243"/>
      <c r="C2" s="244"/>
    </row>
    <row r="3" spans="2:4">
      <c r="B3" s="245" t="s">
        <v>255</v>
      </c>
      <c r="C3" s="246"/>
    </row>
    <row r="4" spans="2:4">
      <c r="B4" s="245" t="s">
        <v>256</v>
      </c>
      <c r="C4" s="246"/>
    </row>
    <row r="5" spans="2:4" ht="34.5" customHeight="1">
      <c r="B5" s="114" t="s">
        <v>257</v>
      </c>
      <c r="C5" s="114" t="s">
        <v>258</v>
      </c>
    </row>
    <row r="6" spans="2:4" ht="15.75">
      <c r="B6" s="109" t="s">
        <v>259</v>
      </c>
      <c r="C6" s="108">
        <v>150</v>
      </c>
    </row>
    <row r="7" spans="2:4">
      <c r="B7" s="110" t="s">
        <v>260</v>
      </c>
      <c r="C7" s="111" t="s">
        <v>261</v>
      </c>
    </row>
    <row r="8" spans="2:4" ht="15.75">
      <c r="B8" s="110" t="s">
        <v>262</v>
      </c>
      <c r="C8" s="108">
        <v>100</v>
      </c>
    </row>
    <row r="9" spans="2:4" ht="47.25">
      <c r="B9" s="110" t="s">
        <v>263</v>
      </c>
      <c r="C9" s="112" t="s">
        <v>264</v>
      </c>
    </row>
    <row r="10" spans="2:4" ht="30">
      <c r="B10" s="110" t="s">
        <v>265</v>
      </c>
      <c r="C10" s="113" t="s">
        <v>266</v>
      </c>
      <c r="D10" s="117"/>
    </row>
    <row r="11" spans="2:4" ht="16.899999999999999" customHeight="1">
      <c r="B11" s="110" t="s">
        <v>267</v>
      </c>
      <c r="C11" s="107" t="s">
        <v>268</v>
      </c>
      <c r="D11" s="117"/>
    </row>
    <row r="12" spans="2:4">
      <c r="B12" s="110" t="s">
        <v>269</v>
      </c>
      <c r="C12" s="107" t="s">
        <v>270</v>
      </c>
      <c r="D12" s="117"/>
    </row>
    <row r="13" spans="2:4">
      <c r="B13" s="110" t="s">
        <v>271</v>
      </c>
      <c r="C13" s="107" t="s">
        <v>272</v>
      </c>
    </row>
    <row r="14" spans="2:4" ht="15.75">
      <c r="B14" s="110" t="s">
        <v>273</v>
      </c>
      <c r="C14" s="108">
        <v>75</v>
      </c>
    </row>
    <row r="15" spans="2:4" ht="16.149999999999999" customHeight="1">
      <c r="B15" s="110" t="s">
        <v>274</v>
      </c>
      <c r="C15" s="108">
        <v>100</v>
      </c>
    </row>
    <row r="16" spans="2:4" ht="16.149999999999999" customHeight="1">
      <c r="B16" s="118" t="s">
        <v>275</v>
      </c>
      <c r="C16" s="100" t="s">
        <v>276</v>
      </c>
    </row>
    <row r="17" spans="2:8" ht="15.75">
      <c r="B17" s="118" t="s">
        <v>277</v>
      </c>
      <c r="C17" s="100">
        <v>300</v>
      </c>
    </row>
    <row r="18" spans="2:8" ht="15.75">
      <c r="B18" s="119" t="s">
        <v>71</v>
      </c>
      <c r="C18" s="100">
        <v>75</v>
      </c>
    </row>
    <row r="19" spans="2:8" ht="15.75">
      <c r="B19" s="119" t="s">
        <v>73</v>
      </c>
      <c r="C19" s="100">
        <v>150</v>
      </c>
    </row>
    <row r="20" spans="2:8" ht="15.75">
      <c r="B20" s="119" t="s">
        <v>278</v>
      </c>
      <c r="C20" s="100" t="s">
        <v>279</v>
      </c>
    </row>
    <row r="21" spans="2:8" ht="15.75">
      <c r="B21" s="119" t="s">
        <v>280</v>
      </c>
      <c r="C21" s="100">
        <v>100</v>
      </c>
    </row>
    <row r="22" spans="2:8">
      <c r="B22" s="119" t="s">
        <v>281</v>
      </c>
      <c r="C22" s="120" t="s">
        <v>282</v>
      </c>
    </row>
    <row r="23" spans="2:8" ht="15.75">
      <c r="B23" s="121" t="s">
        <v>283</v>
      </c>
      <c r="C23" s="120" t="s">
        <v>282</v>
      </c>
      <c r="H23" s="101"/>
    </row>
    <row r="24" spans="2:8">
      <c r="B24" s="121" t="s">
        <v>284</v>
      </c>
      <c r="C24" s="247" t="s">
        <v>282</v>
      </c>
    </row>
    <row r="25" spans="2:8">
      <c r="B25" s="116" t="s">
        <v>285</v>
      </c>
      <c r="C25" s="248"/>
    </row>
    <row r="26" spans="2:8">
      <c r="B26" s="106" t="s">
        <v>286</v>
      </c>
      <c r="C26" s="249" t="s">
        <v>287</v>
      </c>
    </row>
    <row r="27" spans="2:8" ht="30">
      <c r="B27" s="115" t="s">
        <v>288</v>
      </c>
      <c r="C27" s="250"/>
    </row>
    <row r="29" spans="2:8">
      <c r="B29" s="102"/>
      <c r="C29" s="102"/>
    </row>
    <row r="30" spans="2:8" ht="15" customHeight="1" thickBot="1">
      <c r="B30" s="103"/>
      <c r="C30" s="102"/>
    </row>
    <row r="31" spans="2:8" ht="15" customHeight="1">
      <c r="B31" s="251" t="s">
        <v>289</v>
      </c>
      <c r="C31" s="252"/>
    </row>
    <row r="32" spans="2:8" ht="15.75" customHeight="1">
      <c r="B32" s="253"/>
      <c r="C32" s="254"/>
    </row>
    <row r="33" spans="2:3" ht="19.149999999999999" customHeight="1" thickBot="1">
      <c r="B33" s="255"/>
      <c r="C33" s="256"/>
    </row>
    <row r="34" spans="2:3" ht="22.9" customHeight="1">
      <c r="B34" s="104"/>
      <c r="C34" s="104"/>
    </row>
    <row r="35" spans="2:3" ht="21">
      <c r="B35" s="237" t="s">
        <v>290</v>
      </c>
      <c r="C35" s="237"/>
    </row>
    <row r="36" spans="2:3" ht="21">
      <c r="B36" s="238" t="s">
        <v>291</v>
      </c>
      <c r="C36" s="239"/>
    </row>
    <row r="37" spans="2:3">
      <c r="B37" s="105"/>
      <c r="C37" s="102"/>
    </row>
    <row r="38" spans="2:3">
      <c r="B38" s="102"/>
      <c r="C38" s="102"/>
    </row>
    <row r="39" spans="2:3" ht="21" customHeight="1">
      <c r="B39" s="240" t="s">
        <v>292</v>
      </c>
      <c r="C39" s="240"/>
    </row>
    <row r="40" spans="2:3">
      <c r="B40" s="240"/>
      <c r="C40" s="240"/>
    </row>
    <row r="41" spans="2:3">
      <c r="B41" s="240"/>
      <c r="C41" s="240"/>
    </row>
    <row r="42" spans="2:3">
      <c r="B42" s="144"/>
      <c r="C42" s="144"/>
    </row>
    <row r="43" spans="2:3" ht="24.4" customHeight="1">
      <c r="B43" s="144"/>
      <c r="C43" s="144"/>
    </row>
    <row r="44" spans="2:3">
      <c r="B44" s="122"/>
    </row>
    <row r="45" spans="2:3" ht="15.75">
      <c r="B45" s="123"/>
    </row>
    <row r="46" spans="2:3" ht="15.75">
      <c r="B46" s="124"/>
    </row>
    <row r="47" spans="2:3" ht="15.75">
      <c r="B47" s="124"/>
    </row>
    <row r="48" spans="2:3">
      <c r="B48" s="125"/>
    </row>
    <row r="49" spans="2:2" ht="15.75">
      <c r="B49" s="123"/>
    </row>
    <row r="50" spans="2:2">
      <c r="B50" s="125"/>
    </row>
    <row r="51" spans="2:2" ht="15.75">
      <c r="B51" s="123"/>
    </row>
    <row r="52" spans="2:2" ht="15.75">
      <c r="B52" s="124"/>
    </row>
    <row r="53" spans="2:2" ht="15.75">
      <c r="B53" s="124"/>
    </row>
    <row r="54" spans="2:2" ht="15.75">
      <c r="B54" s="126"/>
    </row>
    <row r="55" spans="2:2" ht="15.75">
      <c r="B55" s="127"/>
    </row>
    <row r="56" spans="2:2" ht="15.75">
      <c r="B56" s="127"/>
    </row>
    <row r="57" spans="2:2">
      <c r="B57" s="128"/>
    </row>
    <row r="58" spans="2:2" ht="15.75">
      <c r="B58" s="123"/>
    </row>
    <row r="59" spans="2:2">
      <c r="B59" s="129"/>
    </row>
    <row r="60" spans="2:2" ht="15.75">
      <c r="B60" s="124"/>
    </row>
    <row r="61" spans="2:2" ht="15.75">
      <c r="B61" s="130"/>
    </row>
    <row r="62" spans="2:2" ht="15.75">
      <c r="B62" s="130"/>
    </row>
    <row r="63" spans="2:2" ht="15.75">
      <c r="B63" s="131"/>
    </row>
    <row r="64" spans="2:2">
      <c r="B64" s="59"/>
    </row>
    <row r="65" spans="2:2" ht="15.75">
      <c r="B65" s="130"/>
    </row>
    <row r="66" spans="2:2" ht="15.75">
      <c r="B66" s="130"/>
    </row>
    <row r="67" spans="2:2" ht="15.75">
      <c r="B67" s="132"/>
    </row>
    <row r="68" spans="2:2" ht="15.75">
      <c r="B68" s="133"/>
    </row>
    <row r="69" spans="2:2" ht="15.75">
      <c r="B69" s="132"/>
    </row>
    <row r="70" spans="2:2" ht="15.75">
      <c r="B70" s="132"/>
    </row>
    <row r="71" spans="2:2" ht="15.75">
      <c r="B71" s="132"/>
    </row>
    <row r="72" spans="2:2" ht="15.75">
      <c r="B72" s="133"/>
    </row>
    <row r="73" spans="2:2" ht="15.75">
      <c r="B73" s="132"/>
    </row>
    <row r="74" spans="2:2" ht="15.75">
      <c r="B74" s="134"/>
    </row>
    <row r="75" spans="2:2" ht="15.75">
      <c r="B75" s="132"/>
    </row>
    <row r="76" spans="2:2" ht="15.75">
      <c r="B76" s="132"/>
    </row>
    <row r="77" spans="2:2" ht="15.75">
      <c r="B77" s="135"/>
    </row>
    <row r="78" spans="2:2">
      <c r="B78" s="136"/>
    </row>
    <row r="79" spans="2:2" ht="15.75">
      <c r="B79" s="130"/>
    </row>
    <row r="80" spans="2:2" ht="15.75">
      <c r="B80" s="130"/>
    </row>
    <row r="81" spans="2:2" ht="15.75">
      <c r="B81" s="130"/>
    </row>
    <row r="82" spans="2:2">
      <c r="B82" s="137"/>
    </row>
    <row r="83" spans="2:2" ht="15.75">
      <c r="B83" s="124"/>
    </row>
    <row r="84" spans="2:2">
      <c r="B84" s="59"/>
    </row>
    <row r="85" spans="2:2">
      <c r="B85" s="137"/>
    </row>
    <row r="86" spans="2:2" ht="15.75">
      <c r="B86" s="130"/>
    </row>
    <row r="87" spans="2:2">
      <c r="B87" s="138"/>
    </row>
    <row r="88" spans="2:2" ht="15.75">
      <c r="B88" s="130"/>
    </row>
    <row r="89" spans="2:2" ht="15.75">
      <c r="B89" s="130"/>
    </row>
    <row r="90" spans="2:2" ht="15.75">
      <c r="B90" s="130"/>
    </row>
    <row r="91" spans="2:2" ht="15.75">
      <c r="B91" s="130"/>
    </row>
    <row r="92" spans="2:2" ht="15.75">
      <c r="B92" s="130"/>
    </row>
    <row r="93" spans="2:2" ht="15.75">
      <c r="B93" s="130"/>
    </row>
    <row r="94" spans="2:2" ht="15.75">
      <c r="B94" s="130"/>
    </row>
    <row r="95" spans="2:2">
      <c r="B95" s="139"/>
    </row>
    <row r="96" spans="2:2">
      <c r="B96" s="99"/>
    </row>
    <row r="97" spans="2:2" ht="15.75">
      <c r="B97" s="130"/>
    </row>
    <row r="98" spans="2:2" ht="15.75">
      <c r="B98" s="124"/>
    </row>
    <row r="99" spans="2:2" ht="15.75">
      <c r="B99" s="140"/>
    </row>
    <row r="100" spans="2:2" ht="15.75">
      <c r="B100" s="124"/>
    </row>
    <row r="101" spans="2:2" ht="15.75">
      <c r="B101" s="130"/>
    </row>
    <row r="102" spans="2:2" ht="15.75">
      <c r="B102" s="141"/>
    </row>
    <row r="103" spans="2:2" ht="15.75">
      <c r="B103" s="142"/>
    </row>
    <row r="104" spans="2:2" ht="15.75">
      <c r="B104" s="142"/>
    </row>
    <row r="105" spans="2:2" ht="15.75">
      <c r="B105" s="142"/>
    </row>
    <row r="106" spans="2:2" ht="15.75">
      <c r="B106" s="142"/>
    </row>
    <row r="107" spans="2:2" ht="15.75">
      <c r="B107" s="141"/>
    </row>
    <row r="108" spans="2:2" ht="15.75">
      <c r="B108" s="142"/>
    </row>
    <row r="109" spans="2:2" ht="15.75">
      <c r="B109" s="142"/>
    </row>
    <row r="110" spans="2:2" ht="15.75">
      <c r="B110" s="142"/>
    </row>
    <row r="111" spans="2:2" ht="15.75">
      <c r="B111" s="142"/>
    </row>
    <row r="112" spans="2:2" ht="15.75">
      <c r="B112" s="141"/>
    </row>
    <row r="113" spans="2:2" ht="15.75">
      <c r="B113" s="142"/>
    </row>
    <row r="114" spans="2:2" ht="15.75">
      <c r="B114" s="143"/>
    </row>
    <row r="115" spans="2:2" ht="15.75">
      <c r="B115" s="143"/>
    </row>
    <row r="116" spans="2:2" ht="15.75">
      <c r="B116" s="142"/>
    </row>
    <row r="117" spans="2:2" ht="15.75">
      <c r="B117" s="141"/>
    </row>
    <row r="118" spans="2:2" ht="15.75">
      <c r="B118" s="141"/>
    </row>
    <row r="119" spans="2:2" ht="15.75">
      <c r="B119" s="142"/>
    </row>
    <row r="120" spans="2:2" ht="15.75">
      <c r="B120" s="130"/>
    </row>
    <row r="121" spans="2:2" ht="15.75">
      <c r="B121" s="124"/>
    </row>
    <row r="122" spans="2:2" ht="15.75">
      <c r="B122" s="130"/>
    </row>
    <row r="123" spans="2:2" ht="15.75">
      <c r="B123" s="124"/>
    </row>
    <row r="124" spans="2:2" ht="15.75">
      <c r="B124" s="130"/>
    </row>
    <row r="125" spans="2:2" ht="15.75">
      <c r="B125" s="130"/>
    </row>
    <row r="126" spans="2:2" ht="15.75">
      <c r="B126" s="124"/>
    </row>
    <row r="127" spans="2:2" ht="15.75">
      <c r="B127" s="124"/>
    </row>
    <row r="128" spans="2:2" ht="15.75">
      <c r="B128" s="141"/>
    </row>
    <row r="129" spans="2:2" ht="15.75">
      <c r="B129" s="141"/>
    </row>
    <row r="130" spans="2:2" ht="15.75">
      <c r="B130" s="124"/>
    </row>
    <row r="131" spans="2:2" ht="15.75">
      <c r="B131" s="141"/>
    </row>
    <row r="132" spans="2:2" ht="15.75">
      <c r="B132" s="141"/>
    </row>
    <row r="133" spans="2:2" ht="15.75">
      <c r="B133" s="130"/>
    </row>
    <row r="134" spans="2:2" ht="15.75">
      <c r="B134" s="124"/>
    </row>
  </sheetData>
  <sheetProtection sheet="1" objects="1" scenarios="1"/>
  <mergeCells count="9">
    <mergeCell ref="B35:C35"/>
    <mergeCell ref="B36:C36"/>
    <mergeCell ref="B39:C41"/>
    <mergeCell ref="B1:C2"/>
    <mergeCell ref="B3:C3"/>
    <mergeCell ref="B4:C4"/>
    <mergeCell ref="C24:C25"/>
    <mergeCell ref="C26:C27"/>
    <mergeCell ref="B31:C33"/>
  </mergeCells>
  <hyperlinks>
    <hyperlink ref="B36:B37" r:id="rId1" display="http://asunm.unm.edu/documents/2021-2022/documents/standingrules/s22financespringstandingrules.pdf" xr:uid="{D3186D14-5DE7-4F9A-B87F-2C0ADC6CE60F}"/>
    <hyperlink ref="B36" r:id="rId2" xr:uid="{AE44CBE1-1563-4828-9C70-789B8E70DE2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8EA7A-9FCA-428A-AE51-BF12FF32DD79}">
  <sheetPr>
    <tabColor theme="4" tint="0.39997558519241921"/>
  </sheetPr>
  <dimension ref="A1"/>
  <sheetViews>
    <sheetView workbookViewId="0">
      <selection activeCell="I49" sqref="I49"/>
    </sheetView>
  </sheetViews>
  <sheetFormatPr defaultRowHeight="15"/>
  <sheetData/>
  <sheetProtection sheet="1" objects="1" scenario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F0D5C-73C8-4379-B08D-A20E8337E305}">
  <sheetPr>
    <tabColor theme="4" tint="0.39997558519241921"/>
  </sheetPr>
  <dimension ref="A1"/>
  <sheetViews>
    <sheetView workbookViewId="0">
      <selection activeCell="N8" sqref="N8"/>
    </sheetView>
  </sheetViews>
  <sheetFormatPr defaultRowHeight="15"/>
  <sheetData/>
  <sheetProtection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Karl Anderson</dc:creator>
  <cp:keywords/>
  <dc:description/>
  <cp:lastModifiedBy/>
  <cp:revision/>
  <dcterms:created xsi:type="dcterms:W3CDTF">2026-07-07T22:27:12Z</dcterms:created>
  <dcterms:modified xsi:type="dcterms:W3CDTF">2026-08-14T19:54:09Z</dcterms:modified>
  <cp:category/>
  <cp:contentStatus/>
</cp:coreProperties>
</file>